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generic" sheetId="2" r:id="rId6"/>
    <sheet state="visible" name="profiler" sheetId="3" r:id="rId7"/>
    <sheet state="visible" name="distributed" sheetId="4" r:id="rId8"/>
    <sheet state="visible" name="dynamo" sheetId="5" r:id="rId9"/>
    <sheet state="visible" name="NOT READY Inductor" sheetId="6" r:id="rId10"/>
    <sheet state="visible" name="NOT READY AOTDispatchPT2 Infra" sheetId="7" r:id="rId11"/>
    <sheet state="visible" name="cuda-specific" sheetId="8" r:id="rId12"/>
  </sheets>
  <definedNames>
    <definedName hidden="1" localSheetId="1" name="_xlnm._FilterDatabase">generic!$A$1:$Z$1195</definedName>
    <definedName hidden="1" localSheetId="3" name="_xlnm._FilterDatabase">distributed!$A$2:$Z$780</definedName>
    <definedName hidden="1" localSheetId="4" name="_xlnm._FilterDatabase">dynamo!$A$2:$J$489</definedName>
  </definedNames>
  <calcPr/>
</workbook>
</file>

<file path=xl/sharedStrings.xml><?xml version="1.0" encoding="utf-8"?>
<sst xmlns="http://schemas.openxmlformats.org/spreadsheetml/2006/main" count="7987" uniqueCount="3609">
  <si>
    <r>
      <rPr>
        <rFont val="Arial"/>
        <sz val="11.0"/>
      </rPr>
      <t xml:space="preserve">
This sheet tracks the migration of the pytorch test suite to be device-generic on a per-test-class basis as of March 2026.
It is intended to be useful in the following ways
1. A source of truth for which PoCs are currently migrating which classes. 
2. Direction on which tests the PyTorch team considers to be legacy/less important. In particular, </t>
    </r>
    <r>
      <rPr>
        <rFont val="Arial"/>
        <b/>
        <color rgb="FFCC0000"/>
        <sz val="11.0"/>
      </rPr>
      <t>rows highlighted in red are considered to be tests that are legacy/less important (or in the case of dist comm backend, blocked)</t>
    </r>
    <r>
      <rPr>
        <rFont val="Arial"/>
        <b/>
        <sz val="11.0"/>
      </rPr>
      <t>.</t>
    </r>
    <r>
      <rPr>
        <rFont val="Arial"/>
        <sz val="11.0"/>
      </rPr>
      <t xml:space="preserve">
3. Additionally it attempts to the best of our ability to classify the tests based on whether there are blockers to running on </t>
    </r>
    <r>
      <rPr>
        <rFont val="Arial"/>
        <color rgb="FF1155CC"/>
        <sz val="11.0"/>
        <u/>
      </rPr>
      <t>PrivateUse1.</t>
    </r>
    <r>
      <rPr>
        <rFont val="Arial"/>
      </rPr>
      <t xml:space="preserve"> </t>
    </r>
    <r>
      <rPr>
        <rFont val="Arial"/>
        <b/>
        <sz val="11.0"/>
      </rPr>
      <t xml:space="preserve"> 
It is possible that there is human error here, so do feel free to help or mark yourself as PoC for a given test class if you find any blockers to running on PrivateUse1 *as long as the row is not red* </t>
    </r>
    <r>
      <rPr>
        <rFont val="Arial"/>
        <sz val="11.0"/>
      </rPr>
      <t xml:space="preserve">
Currently this spreadsheet should contain everything under pytorch/test/ with the exception of the following categories which are WIP
1. Inductor tests — a large portion of these have been refactored by Intel but may not run on PrivateUse1. (note that some tests are still marked (Unsure Inductor or Unsure PT2)
2. PT2 Infra/AOTDispatch tests 
For these I (mikaylagawarecki) am still working on figuring out the importance of the test classes.
</t>
    </r>
    <r>
      <rPr>
        <rFont val="Arial"/>
        <b/>
        <sz val="11.0"/>
      </rPr>
      <t>ASK: If you intend to fix a given class to be device-generic, please mark yourself in the Refactor PoC column. NOTE: When we say refactor to be device-generic, we mean that we want to remove hardcoding of 'cuda' and which would unblock the test to run on all accelerators.</t>
    </r>
    <r>
      <rPr>
        <rFont val="Arial"/>
        <sz val="11.0"/>
      </rPr>
      <t xml:space="preserve">
Of the 4 sheets in this spreadsheet the high level direction for each is 
1. Generic
    1. We’ve highlighted potentially hardcoded tests in yellow and shared some priority categorizations. Legacy features/tests that are device-specific are marked red.
2. Profiler
    1. Should theoretically be device-generic, feel free to take a look at the highlighted rows.
3. Distributed 
    1. There are two classes of distributed tests, (a) communication backend tests (b) parallelism/distributed checkpoint tests.
        1. Communication backend tests: These are fragmented and tend to be communication backend specific and have mostly been highlighted red for this reason. The rough plan is to refactor these to one unified test suite, but </t>
    </r>
    <r>
      <rPr>
        <rFont val="Arial"/>
        <b/>
        <sz val="11.0"/>
      </rPr>
      <t xml:space="preserve">we need to align with </t>
    </r>
    <r>
      <rPr>
        <rFont val="Arial"/>
        <b/>
        <color rgb="FF1155CC"/>
        <sz val="11.0"/>
        <u/>
      </rPr>
      <t>torchcomms</t>
    </r>
    <r>
      <rPr>
        <rFont val="Arial"/>
        <b/>
        <sz val="11.0"/>
      </rPr>
      <t xml:space="preserve"> (WIP) before we have concrete instructions on how best to do this.</t>
    </r>
    <r>
      <rPr>
        <rFont val="Arial"/>
        <sz val="11.0"/>
      </rPr>
      <t xml:space="preserve">
        2. Parallelism tests: Intel has refactored a good amount of these to device-generic. There are some extremely low hanging fruit (e.g. 70+ test classes use a hardcoded device backend map that might be missing PrivateUse1) some other tests here and there that might still hardcode cuda, feel free to pick them up.
    2. Legacy distributed features are highlighted in red and include sharded tensor, FSDP1 (it is confusing but FSDP1 tests are under test/distributed/fsdp, the fsdp2 tests are in the private folder test/_composable/fsdp)
4. Dynamo
    1. PrivateUse1 should run the entire Dynamo test suite and it should theoretically be device-generic but there might be some hardcoding here and there
    2. Some of the dynamo tests are inductor reliant, these have been marked and we can hold off on refactoring these for the time being
</t>
    </r>
    <r>
      <rPr>
        <rFont val="Arial"/>
      </rPr>
      <t xml:space="preserve"> </t>
    </r>
  </si>
  <si>
    <t>Test Class</t>
  </si>
  <si>
    <t>File</t>
  </si>
  <si>
    <t>Detailed Description</t>
  </si>
  <si>
    <t>Device Classification</t>
  </si>
  <si>
    <t>Device Notes</t>
  </si>
  <si>
    <t>Impt?</t>
  </si>
  <si>
    <t>Needs Refactor</t>
  </si>
  <si>
    <t>Priority</t>
  </si>
  <si>
    <t>Refactor PoC</t>
  </si>
  <si>
    <t>Refactoring Notes</t>
  </si>
  <si>
    <t>Tensor Operations — Core tensor creation, manipulation, and elementwise operations</t>
  </si>
  <si>
    <t>Tensor Operations › Creation</t>
  </si>
  <si>
    <t>test_tensor_creation_ops.py</t>
  </si>
  <si>
    <t>Uses instantiate_device_type_tests;</t>
  </si>
  <si>
    <t>device_generic</t>
  </si>
  <si>
    <t>Uses instantiate_device_type_tests; has ~10 @onlyCUDA tests (cat variants, range_factories_64bit, new_tensor_device, tensor_factory_gpu_type*), ~9 @dtypesIfCUDA, device_type=='cuda' branches, device='cuda' literals, .cuda() calls, torch.cuda.* APIs</t>
  </si>
  <si>
    <t>Riya Punia (Red Hat)</t>
  </si>
  <si>
    <t>https://github.com/pytorch/pytorch/pull/176593</t>
  </si>
  <si>
    <t>Tests random tensor creation functions like torch.rand, torch.randn, torch.randint, and torch.bernoulli.</t>
  </si>
  <si>
    <t>Uses instantiate_device_type_tests; has 1 @onlyCUDA test (test_randperm_device_compatibility), 1 @dtypesIfCUDA, extensive device='cuda' literals in generator compatibility tests</t>
  </si>
  <si>
    <t>RedHat(Riya Punia)</t>
  </si>
  <si>
    <r>
      <rPr>
        <rFont val="Arial"/>
        <color rgb="FF1155CC"/>
        <u/>
      </rPr>
      <t>https://github.com/pytorch/pytorch/pull/176593</t>
    </r>
    <r>
      <rPr>
        <rFont val="Arial"/>
      </rPr>
      <t xml:space="preserve"> </t>
    </r>
  </si>
  <si>
    <t>Tests *_like tensor creation functions such as torch.zeros_like, torch.ones_like, and torch.full_like.</t>
  </si>
  <si>
    <t>Uses instantiate_device_type_tests; all test methods take a device arg</t>
  </si>
  <si>
    <t>Tests tensor creation from Python buffer protocol objects (memoryview, numpy arrays) on CPU only.</t>
  </si>
  <si>
    <t>device_generic(only_for=cpu)</t>
  </si>
  <si>
    <t>instantiate_device_type_tests with only_for="cpu"</t>
  </si>
  <si>
    <t>Tests torch.asarray for converting various inputs (numpy arrays, lists, dlpack) to tensors.</t>
  </si>
  <si>
    <t>Uses instantiate_device_type_tests; has 4 @onlyCUDA tests (multi-device copy tests, test_device_without_index), device="cuda" literals</t>
  </si>
  <si>
    <t>Tensor Operations › Unary Ops</t>
  </si>
  <si>
    <t>test_unary_ufuncs.py</t>
  </si>
  <si>
    <t>Tests elementwise unary universal functions (abs, sin, cos, exp, etc.) including domain checks, dtype support, and NumPy reference comparisons.</t>
  </si>
  <si>
    <t>Uses instantiate_device_type_tests with @ops decorator; has 5 @onlyCUDA tests, 1 @dtypesIfCUDA</t>
  </si>
  <si>
    <t>https://github.com/pytorch/pytorch/pull/176717</t>
  </si>
  <si>
    <t>Tensor Operations › Binary Ops</t>
  </si>
  <si>
    <t>test_binary_ufuncs.py</t>
  </si>
  <si>
    <t>Tests elementwise binary universal functions (add, mul, div, etc.) including type promotion, broadcasting, and NumPy reference comparisons.</t>
  </si>
  <si>
    <t xml:space="preserve"> Would we be able </t>
  </si>
  <si>
    <t>RedHat(Nayan)</t>
  </si>
  <si>
    <t>https://github.com/pytorch/pytorch/pull/185189</t>
  </si>
  <si>
    <t>Tensor Operations › Reductions</t>
  </si>
  <si>
    <t>test_reductions.py</t>
  </si>
  <si>
    <t>Tests reduction operations (sum, mean, prod, max, min, argmax, etc.) including dim, keepdim, and dtype arguments.</t>
  </si>
  <si>
    <t>Uses instantiate_device_type_tests with @ops decorator; has 1 @onlyCUDA, 10 @onlyOn(["cuda","xpu"]), 7 @dtypesIfCUDA</t>
  </si>
  <si>
    <t>Kumar Tanmay (Red Hat)</t>
  </si>
  <si>
    <t>https://github.com/pytorch/pytorch/pull/184559</t>
  </si>
  <si>
    <t>Tensor Operations › Indexing</t>
  </si>
  <si>
    <t>test_indexing.py</t>
  </si>
  <si>
    <t>Tests tensor indexing operations including basic/advanced indexing, boolean masks, ellipsis, and index_put.</t>
  </si>
  <si>
    <t>device_generic(except_for=meta)</t>
  </si>
  <si>
    <t>instantiate_device_type_tests with except_for="meta"; has 7 @onlyOn(["cuda","xpu"]) tests, 2 @dtypesIfCUDA</t>
  </si>
  <si>
    <t>https://github.com/pytorch/pytorch/pull/184570</t>
  </si>
  <si>
    <t>Tests NumPy-compatible indexing behavior and interoperability between PyTorch and NumPy indexing semantics.</t>
  </si>
  <si>
    <t>instantiate_device_type_tests with except_for="meta"</t>
  </si>
  <si>
    <t>Tensor Operations › Shape Ops</t>
  </si>
  <si>
    <t>test_shape_ops.py</t>
  </si>
  <si>
    <t>Tests shape manipulation operations like unbind, tolist, flip, roll, rot90, tile, repeat, chunk, and tensor_split.</t>
  </si>
  <si>
    <t>Uses instantiate_device_type_tests; has 1 @onlyOn(["cuda","xpu"]) test (test_flip_large_tensor), 1 @dtypesIfCUDA, 1 device_type=="cuda" branch</t>
  </si>
  <si>
    <t>Mansi Agarwal (Red Hat)</t>
  </si>
  <si>
    <t>https://github.com/pytorch/pytorch/pull/184162</t>
  </si>
  <si>
    <t>Tensor Operations › View Ops</t>
  </si>
  <si>
    <t>test_as_strided.py</t>
  </si>
  <si>
    <t>Tests BFS-based enumeration of reachable (size, stride) states from view operations on a 1D contiguous tensor.</t>
  </si>
  <si>
    <t>no_device</t>
  </si>
  <si>
    <t>No device arg on test methods; uses torch.arange on CPU only</t>
  </si>
  <si>
    <t>test_view_ops.py</t>
  </si>
  <si>
    <t>Tests view operations like reshape, expand, permute, transpose, narrow, unfold, as_strided, and contiguity checks.</t>
  </si>
  <si>
    <t>Tests legacy/older view operations including diagonal, select, unfold, and real/imag views on complex tensors.</t>
  </si>
  <si>
    <t>Tensor Operations › Sort &amp; Select</t>
  </si>
  <si>
    <t>test_sort_and_select.py</t>
  </si>
  <si>
    <t>Tests sorting (torch.sort, torch.argsort) and selection (kthvalue, topk, median) operations.</t>
  </si>
  <si>
    <t>Uses instantiate_device_type_tests; has 4 @onlyCUDA tests (sort_large*, sort_discontiguous, topk_noncontiguous_gpu), 2 @dtypesIfCUDA, 2 device_type=="cuda" branches, torch.cuda.synchronize() calls</t>
  </si>
  <si>
    <t>https://github.com/pytorch/pytorch/pull/184548</t>
  </si>
  <si>
    <t>Tensor Operations › Scatter &amp; Gather</t>
  </si>
  <si>
    <t>test_scatter_gather_ops.py</t>
  </si>
  <si>
    <t>Tests scatter and gather operations including torch.gather, torch.scatter, scatter_add, and scatter_reduce.</t>
  </si>
  <si>
    <t>Uses instantiate_device_type_tests; has 5 @dtypesIfCUDA, torch.cuda.empty_cache() call, device.type=="cuda" checks</t>
  </si>
  <si>
    <t>https://github.com/pytorch/pytorch/pull/184719</t>
  </si>
  <si>
    <t>test_segment_reductions.py</t>
  </si>
  <si>
    <t>Tests torch._segment_reduce for segmented reductions (max, mean, min, sum, prod) with lengths and offsets.</t>
  </si>
  <si>
    <t>Private op</t>
  </si>
  <si>
    <t>Tensor Operations › Foreach (Multi-Tensor)</t>
  </si>
  <si>
    <t>test_foreach.py</t>
  </si>
  <si>
    <t>Tests torch._foreach_* multi-tensor apply operations for unary, binary, pointwise, and reduce variants.</t>
  </si>
  <si>
    <t>Uses instantiate_device_type_tests with @ops decorator; has 20 @onlyCUDA tests</t>
  </si>
  <si>
    <t>Tensor Operations › Spectral / FFT</t>
  </si>
  <si>
    <t>Low</t>
  </si>
  <si>
    <t>test_spectral_ops.py</t>
  </si>
  <si>
    <t>Tests FFT/spectral operations including torch.fft.fft, rfft, stft, istft, and related functions.</t>
  </si>
  <si>
    <t>Uses instantiate_device_type_tests; has 3 @onlyCUDA tests (test_cufft_plan_cache, test_cufft_context, test_stft_window_device)</t>
  </si>
  <si>
    <t>Tests that code examples from torch.fft documentation run correctly and produce expected results.</t>
  </si>
  <si>
    <t>instantiate_device_type_tests with only_for='cpu'</t>
  </si>
  <si>
    <t>Tensor Operations › Masked Ops</t>
  </si>
  <si>
    <t>test_masked.py</t>
  </si>
  <si>
    <t>Tests masked reduction operations (torch.masked.sum, mean, etc.) that operate on tensors with boolean masks.</t>
  </si>
  <si>
    <t>instantiate_device_type_tests with except_for='meta'</t>
  </si>
  <si>
    <t>Tensor Types &amp; Subtypes — Core tensor, type promotion, sparse, nested, named, complex, and other tensor variants</t>
  </si>
  <si>
    <t>Tensor Types &amp; Subtypes › Core Tensor (test_torch)</t>
  </si>
  <si>
    <t>test_torch.py</t>
  </si>
  <si>
    <t>Tests basic Torch vital signs (torch.vitals_enabled, read/write vitals) controlled via TORCH_VITAL env var.</t>
  </si>
  <si>
    <t>No device arg on test methods; CPU-only operations</t>
  </si>
  <si>
    <t>Tests that CUDA vital signs report GPU usage correctly when vital signs are enabled.</t>
  </si>
  <si>
    <t>Uses instantiate_device_type_tests; single @onlyCUDA test</t>
  </si>
  <si>
    <t>Intel (Daisy Deng)</t>
  </si>
  <si>
    <t>https://github.com/pytorch/pytorch/pull/174364</t>
  </si>
  <si>
    <t>Tests a broad set of core torch operations (serialization, type casting, copy, storage, etc.) parameterized by device type.</t>
  </si>
  <si>
    <t>Uses instantiate_device_type_tests; has ~10+ @onlyCUDA tests, @dtypesIfCUDA, extensive device_type=='cuda' branches (nondeterministic alert tests), .cuda() calls, torch.cuda.* APIs</t>
  </si>
  <si>
    <t>Tests device-specific precision behavior for operations like index_add with bfloat16 and device serialization.</t>
  </si>
  <si>
    <t>device_generic(except_for=cpu)</t>
  </si>
  <si>
    <t>instantiate_device_type_tests with except_for='cpu'; has @onlyCUDA test (test_index_add_bfloat16)</t>
  </si>
  <si>
    <t>Tests a large collection of core PyTorch functionality including tensor creation, manipulation, math ops, serialization, and module behaviors.</t>
  </si>
  <si>
    <t>mixed(multi-device)</t>
  </si>
  <si>
    <t>Not instantiated via device_type_tests; uses hardcoded cuda checks and TEST_CUDA conditionals</t>
  </si>
  <si>
    <t>High</t>
  </si>
  <si>
    <t>Empty placeholder test class instantiated for XLA compatibility; actual view tests are in test_view_ops.py.</t>
  </si>
  <si>
    <t>Uses instantiate_device_type_tests; empty class body</t>
  </si>
  <si>
    <t>Empty placeholder test class instantiated for XLA compatibility; no actual test methods defined.</t>
  </si>
  <si>
    <t>Tensor Types &amp; Subtypes › Type Promotion</t>
  </si>
  <si>
    <t>test_type_promotion.py</t>
  </si>
  <si>
    <t>Tests dtype promotion rules for arithmetic operations between tensors of different types and scalar-tensor combinations.</t>
  </si>
  <si>
    <t>Tensor Types &amp; Subtypes › Type Info</t>
  </si>
  <si>
    <t>test_type_info.py</t>
  </si>
  <si>
    <t>Tests torch.finfo and torch.iinfo for querying dtype properties (bits, max, min, eps) and validates against NumPy.</t>
  </si>
  <si>
    <t>No device arg; uses torch.zeros on CPU, compares dtype metadata</t>
  </si>
  <si>
    <t>Tensor Types &amp; Subtypes › Complex</t>
  </si>
  <si>
    <t>complex_tensor/test_complex_tensor.py</t>
  </si>
  <si>
    <t>Tests complex tensor subclass operations for consistency between interleaved and real-pair representations using OpInfo.</t>
  </si>
  <si>
    <t>Uses instantiate_device_type_tests with @ops decorator</t>
  </si>
  <si>
    <t>Tests backward gradient correctness for complex tensor subclass operations via gradcheck.</t>
  </si>
  <si>
    <t>complex_tensor/utils.py</t>
  </si>
  <si>
    <t>Base utility TestCase providing check_consistency and check_grad helpers for complex tensor subclass testing.</t>
  </si>
  <si>
    <t>Not a runnable test class; provides helper methods only</t>
  </si>
  <si>
    <t>test_complex.py</t>
  </si>
  <si>
    <t>Tests core complex tensor functionality including dtype inference, conjugation, equality, and complex-specific operations.</t>
  </si>
  <si>
    <t>Uses instantiate_device_type_tests; has 1 minor device="cuda:0" in module-level variable</t>
  </si>
  <si>
    <t>Tensor Types &amp; Subtypes › Weak References</t>
  </si>
  <si>
    <t>test_weak.py</t>
  </si>
  <si>
    <t>Tests WeakIdKeyDictionary operations (popitem, setdefault, update, copy, iteration) with tensor keys.</t>
  </si>
  <si>
    <t>No device arg; uses torch.randn() on default (CPU) device</t>
  </si>
  <si>
    <t>Tests dict-like interface (len, contains, get, keys, values, items, pop) of WeakIdKeyDictionary.</t>
  </si>
  <si>
    <t>Tests WeakIdKeyDictionary with TorchScript custom class objects as keys.</t>
  </si>
  <si>
    <t>No device arg; uses TorchScript objects, no tensor device</t>
  </si>
  <si>
    <t>Autograd — Automatic differentiation engine</t>
  </si>
  <si>
    <t>Autograd › Core Autograd</t>
  </si>
  <si>
    <t>test_autograd.py</t>
  </si>
  <si>
    <t>Tests core autograd engine functionality including backward, grad accumulation, hooks, custom Functions, and anomaly detection.</t>
  </si>
  <si>
    <t>Not device_type_tests; most tests CPU, some use TEST_CUDA guard</t>
  </si>
  <si>
    <t>https://github.com/pytorch/pytorch/pull/184593</t>
  </si>
  <si>
    <t>Tests batched gradient computation in forward-mode automatic differentiation.</t>
  </si>
  <si>
    <t>No device arg; uses torch.rand on default (CPU) device</t>
  </si>
  <si>
    <t>Tests forward-mode autodiff (dual tensors, JVP computation) including level management and memory semantics.</t>
  </si>
  <si>
    <t>Tests autograd behavior across device types including gradcheck, gradient computation, and in-place operations.</t>
  </si>
  <si>
    <t>device_generic but some tests use onlyCUDA</t>
  </si>
  <si>
    <t>Uses instantiate_device_type_tests; has ~9 @onlyCUDA tests, 1 @dtypesIfCUDA, device_type=="cuda" branches, @skipCUDANonDefaultStreamIf decorators</t>
  </si>
  <si>
    <t>Tests torch.autograd.graph.allow_mutation_on_saved_tensors context manager for in-place modifications of saved tensors.</t>
  </si>
  <si>
    <t>Tests torch.inference_mode context manager and decorator behavior with autograd operations.</t>
  </si>
  <si>
    <t>No device arg; uses torch.ones/rand on default (CPU) device</t>
  </si>
  <si>
    <t>Tests correct stream synchronization behavior in autograd across multiple GPU streams and devices.</t>
  </si>
  <si>
    <t>device_generic, but sleep is only supported on CUDA?</t>
  </si>
  <si>
    <t>Uses instantiate_device_type_tests; mostly uses torch.accelerator APIs but has torch.cuda._sleep reference in accelerator-type check</t>
  </si>
  <si>
    <t>Tests autograd engine correctness under concurrent multithreaded execution scenarios.</t>
  </si>
  <si>
    <t>Not device_type_tests; some tests use TEST_CUDA for cuda tensors</t>
  </si>
  <si>
    <t>Tests nested activation checkpointing (torch.utils.checkpoint) including higher-order gradients and early stopping.</t>
  </si>
  <si>
    <t>No device arg; uses torch.randn on default (CPU) device</t>
  </si>
  <si>
    <t>Tests selective activation checkpointing that caches only specific ops to trade off memory and recomputation.</t>
  </si>
  <si>
    <t>Not device_type_tests; uses @unittest.skipIf(not TEST_CUDA) guards</t>
  </si>
  <si>
    <t>Tests autograd multiple dispatch registrations (different backward formulas per backend like AutogradCUDA).</t>
  </si>
  <si>
    <t>instantiate_device_type_tests with only_for=("cpu", "cuda"); has 2 @onlyCUDA tests, device="cuda" literals, "cuda" in device branches</t>
  </si>
  <si>
    <t>Medium</t>
  </si>
  <si>
    <t>test_autograd_fallback.py</t>
  </si>
  <si>
    <t>Tests autograd fallback behavior (warn/nothing modes) for custom operators without explicit autograd registrations.</t>
  </si>
  <si>
    <t>cpu_only</t>
  </si>
  <si>
    <t>No device arg; uses CPU tensors via torch.library</t>
  </si>
  <si>
    <t>test_functional_autograd_benchmark.py</t>
  </si>
  <si>
    <t>Smoke tests that the functional autograd benchmarking script runs without errors for various model architectures.</t>
  </si>
  <si>
    <t>No device arg; runs subprocess benchmarks</t>
  </si>
  <si>
    <t>Autograd › Autograd Subdirectory</t>
  </si>
  <si>
    <t>autograd/test_complex.py</t>
  </si>
  <si>
    <t>Tests autograd behavior with complex tensor views (view_as_complex, view_as_real) and their gradient computation.</t>
  </si>
  <si>
    <t>autograd/test_functional.py</t>
  </si>
  <si>
    <t>Tests torch.autograd.functional API (jacobian, hessian, vjp, jvp, vhp, hvp) including vectorized and batched variants.</t>
  </si>
  <si>
    <t>Not device_type_tests; most CPU, some use TEST_CUDA for cuda subtests</t>
  </si>
  <si>
    <t>https://github.com/pytorch/pytorch/pull/184315</t>
  </si>
  <si>
    <t>autograd/test_logging.py</t>
  </si>
  <si>
    <t>Tests that autograd logging at DEBUG level correctly records backward pass node names.</t>
  </si>
  <si>
    <t>Neural Networks — torch.nn modules, layers, and related functionality</t>
  </si>
  <si>
    <t>Neural Networks › Core NN</t>
  </si>
  <si>
    <t>test_modules.py</t>
  </si>
  <si>
    <t>Tests nn.Module forward, backward, gradients, pickling, and device/dtype transfer using the module_db OpInfo infrastructure.</t>
  </si>
  <si>
    <t>Uses instantiate_device_type_tests with @modules decorator; has 2 @onlyOn(["cuda","xpu"]) tests, device capability check (torch.cuda.get_device_capability)</t>
  </si>
  <si>
    <t>test_nn.py</t>
  </si>
  <si>
    <t>Tests a comprehensive suite of neural network modules, loss functions, and nn.functional operations including Conv, RNN, and normalization layers.</t>
  </si>
  <si>
    <t>Not device_type_tests; mixed CPU/CUDA via TEST_CUDA guards</t>
  </si>
  <si>
    <t>Tests numerics of conv-batchnorm and linear-batchnorm fusion utilities in eval mode.</t>
  </si>
  <si>
    <t>No device arg; uses CPU torch tensors from hypothesis</t>
  </si>
  <si>
    <t>Tests torch.constant_pad_nd for correct padding values and memory format preservation.</t>
  </si>
  <si>
    <t>No device arg; uses CPU tensors only</t>
  </si>
  <si>
    <t>Tests fused add+relu operation (torch._VF._add_relu) for numerical correctness.</t>
  </si>
  <si>
    <t>No device arg; uses CPU float tensors</t>
  </si>
  <si>
    <t>Tests device-parameterized neural network operations including convolutions, normalization, loss functions, and activations.</t>
  </si>
  <si>
    <t>Uses instantiate_device_type_tests; has ~58 @onlyCUDA tests, 3 @skipCUDA* decorators, 11 @dtypesIfCUDA</t>
  </si>
  <si>
    <t>Tests that torch.nn.functional module can be pickled and unpickled correctly.</t>
  </si>
  <si>
    <t>No device arg; tests module pickling only</t>
  </si>
  <si>
    <t>Tests nn.utils.fusion helper functions for fusing conv/linear with batch norm weights.</t>
  </si>
  <si>
    <t>No device arg; uses CPU tensors</t>
  </si>
  <si>
    <t>Tests nn utility functions like clip_grad_norm_, parameters_to_vector, and spectral_norm.</t>
  </si>
  <si>
    <t>Neural Networks › Expanded Weights / Stateless / Subclass</t>
  </si>
  <si>
    <t>test_expanded_weights.py</t>
  </si>
  <si>
    <t>Tests helper functions (forward_helper, standard_kwargs, set_grad_sample_if_exists) for per-sample gradient computation.</t>
  </si>
  <si>
    <t>Tests per-sample gradient computation for functional operations (linear, conv, embedding) using ExpandedWeight.</t>
  </si>
  <si>
    <t>Tests per-sample gradient computation for nn.Module instances using the ExpandedWeight mechanism.</t>
  </si>
  <si>
    <t>Uses instantiate_device_type_tests with @modules decorator</t>
  </si>
  <si>
    <t>Tests per-sample gradient context manager for legacy nn test modules (Linear, Conv, Embedding, etc.).</t>
  </si>
  <si>
    <t>Uses test_cpu/test_cuda flags; tests run on CPU and optionally CUDA</t>
  </si>
  <si>
    <t>https://github.com/pytorch/pytorch/pull/184742</t>
  </si>
  <si>
    <t>test_stateless.py</t>
  </si>
  <si>
    <t>Tests torch.func.functional_call for stateless module evaluation with parameter dictionaries.</t>
  </si>
  <si>
    <t>Not device_type_tests; most CPU, some use TEST_MULTIGPU for cuda tests</t>
  </si>
  <si>
    <t>https://github.com/pytorch/pytorch/pull/185127</t>
  </si>
  <si>
    <t>Tests that deprecated torch.nn.utils.stateless APIs emit proper FutureWarning deprecation messages.</t>
  </si>
  <si>
    <t>No device arg; tests import warnings and function calls</t>
  </si>
  <si>
    <t>Tests that torch imports work correctly under Python's -OO optimization flag.</t>
  </si>
  <si>
    <t>No device arg; runs subprocess with -OO flag</t>
  </si>
  <si>
    <t>test_subclass.py</t>
  </si>
  <si>
    <t>Tests nn.Parameter and nn.Module behavior with tensor subclasses including deepcopy, serialization, and parametrization.</t>
  </si>
  <si>
    <t>No device arg; uses CPU tensors from subclass_db</t>
  </si>
  <si>
    <t>Neural Networks › Convolution</t>
  </si>
  <si>
    <t>nn/test_convolution.py</t>
  </si>
  <si>
    <t>Tests convolution module behaviors (Conv1d/2d/3d) including padding modes, groups, dilated convolutions, and edge cases.</t>
  </si>
  <si>
    <t>Not device_type_tests; uses TEST_CUDA guards for some cuda tests</t>
  </si>
  <si>
    <r>
      <rPr>
        <rFont val="Arial"/>
        <color rgb="FF1155CC"/>
        <u/>
      </rPr>
      <t>#184241</t>
    </r>
    <r>
      <rPr>
        <rFont val="Arial"/>
      </rPr>
      <t xml:space="preserve"> , </t>
    </r>
    <r>
      <rPr>
        <rFont val="Arial"/>
        <color rgb="FF1155CC"/>
        <u/>
      </rPr>
      <t>184242</t>
    </r>
    <r>
      <rPr>
        <rFont val="Arial"/>
      </rPr>
      <t xml:space="preserve">,  </t>
    </r>
    <r>
      <rPr>
        <rFont val="Arial"/>
        <color rgb="FF1155CC"/>
        <u/>
      </rPr>
      <t>184243</t>
    </r>
  </si>
  <si>
    <t>Tests device-parameterized convolution operations including cudnn, mkldnn, and MPS-specific behaviors.</t>
  </si>
  <si>
    <t>Uses instantiate_device_type_tests; has ~27 @onlyCUDA tests, 8 @skipCUDA* decorators, 1 @dtypesIfCUDA</t>
  </si>
  <si>
    <t>Neural Networks › Dropout</t>
  </si>
  <si>
    <t>nn/test_dropout.py</t>
  </si>
  <si>
    <t>Tests dropout modules (AlphaDropout, FeatureAlphaDropout) and native_dropout with CUDA/PrivateUse1 corner cases.</t>
  </si>
  <si>
    <t>hardcoded cuda/privateuse1</t>
  </si>
  <si>
    <t>Not device_type_tests; uses TEST_CUDA/TEST_PRIVATEUSE1 guards</t>
  </si>
  <si>
    <t>https://github.com/pytorch/pytorch/pull/184163</t>
  </si>
  <si>
    <t>Tests device-parameterized dropout operations including Dropout, Dropout2d/3d, and FeatureDropout.</t>
  </si>
  <si>
    <t>Uses instantiate_device_type_tests; has device_type=="cuda" branch in test_Dropout</t>
  </si>
  <si>
    <t>Neural Networks › Embedding</t>
  </si>
  <si>
    <t>nn/test_embedding.py</t>
  </si>
  <si>
    <t>Tests embedding modules (Embedding, EmbeddingBag) including sparse gradients, max_norm, and padding_idx.</t>
  </si>
  <si>
    <t>Not device_type_tests; uses TEST_CUDA/TEST_XPU guards for some tests</t>
  </si>
  <si>
    <t>https://github.com/pytorch/pytorch/pull/183910</t>
  </si>
  <si>
    <t>Tests device-parameterized embedding operations including EmbeddingBag modes, dtype support, and large tensors.</t>
  </si>
  <si>
    <t>Uses instantiate_device_type_tests; has 4 @onlyOn(["cuda","xpu"]) tests, ~5 @dtypesIfCUDA</t>
  </si>
  <si>
    <t>Neural Networks › Initialization</t>
  </si>
  <si>
    <t>nn/test_init.py</t>
  </si>
  <si>
    <t>Tests torch.nn.init weight initialization methods (xavier, kaiming, orthogonal, sparse, etc.) for correctness.</t>
  </si>
  <si>
    <t>No device arg; uses CPU tensors via torch.zeros</t>
  </si>
  <si>
    <t>Neural Networks › Lazy Modules</t>
  </si>
  <si>
    <t>nn/test_lazy_modules.py</t>
  </si>
  <si>
    <t>Tests lazy module initialization (UninitializedParameter/Buffer) including state_dict loading and materialization.</t>
  </si>
  <si>
    <t>Not device_type_tests; some tests use TEST_CUDA/TEST_PRIVATEUSE1 guards</t>
  </si>
  <si>
    <t>https://github.com/pytorch/pytorch/pull/184192</t>
  </si>
  <si>
    <t>Neural Networks › State Dict</t>
  </si>
  <si>
    <t>nn/test_load_state_dict.py</t>
  </si>
  <si>
    <t>Tests nn.Module.load_state_dict including strict mode, shape mismatches, dtype handling, and error reporting.</t>
  </si>
  <si>
    <t>No device arg; uses CPU tensors and modules</t>
  </si>
  <si>
    <t>Tests load_state_dict behavior with swap_tensors enabled for zero-copy parameter updates.</t>
  </si>
  <si>
    <t>Neural Networks › Module Hooks</t>
  </si>
  <si>
    <t>nn/test_module_hooks.py</t>
  </si>
  <si>
    <t>Tests forward, backward, and full_backward hooks on nn.Module including ordering, removal, and nested modules.</t>
  </si>
  <si>
    <t>Tests state_dict and load_state_dict hooks for customizing serialization and deserialization behavior.</t>
  </si>
  <si>
    <t>Tests global (module-level) forward and backward hooks registered via nn.modules.module.register_module_*_hook.</t>
  </si>
  <si>
    <t>Tests nn-specific module hooks including backward hooks on loss functions and module registration edge cases.</t>
  </si>
  <si>
    <t>Neural Networks › Packed Sequence</t>
  </si>
  <si>
    <t>nn/test_packed_sequence.py</t>
  </si>
  <si>
    <t>Tests PackedSequence operations including pack/unpack, type casting, sorting, and CUDA transfer.</t>
  </si>
  <si>
    <t>Not device_type_tests; some tests check torch.cuda.is_available()</t>
  </si>
  <si>
    <t>Neural Networks › Parametrization</t>
  </si>
  <si>
    <t>nn/test_parametrization.py</t>
  </si>
  <si>
    <t>Tests torch.nn.utils.parametrize for registering, removing, and composing weight parametrizations on modules.</t>
  </si>
  <si>
    <t>Not device_type_tests; uses TEST_MULTIGPU guard for some cuda tests</t>
  </si>
  <si>
    <t>https://github.com/pytorch/pytorch/pull/184661</t>
  </si>
  <si>
    <t>Tests weight_norm parametrization correctness across device types and dtypes.</t>
  </si>
  <si>
    <t>device_generic(only_for=&lt;variable&gt;)</t>
  </si>
  <si>
    <t>instantiate_device_type_tests with only_for=("cpu", "cuda")</t>
  </si>
  <si>
    <t>Neural Networks › Pooling</t>
  </si>
  <si>
    <t>nn/test_pooling.py</t>
  </si>
  <si>
    <t>Tests average pooling (avg_pool2d/3d) correctness including ceil_mode, divisor_override, with some hardcoded CUDA checks.</t>
  </si>
  <si>
    <t>hardcoded_cuda</t>
  </si>
  <si>
    <t>Not device_type_tests; some tests use if TEST_CUDA for cuda variants</t>
  </si>
  <si>
    <t>Mansi Agarwal</t>
  </si>
  <si>
    <t>Tests pooling modules (MaxPool, AvgPool, AdaptivePool, LPPool, FractionalMaxPool) behaviors and edge cases.</t>
  </si>
  <si>
    <t>Not device_type_tests; some tests use TEST_CUDA for cuda variants</t>
  </si>
  <si>
    <t>Tests device-parameterized pooling operations including max_pool return_indices, adaptive pooling, and large tensors.</t>
  </si>
  <si>
    <t>Uses instantiate_device_type_tests; has 2 @dtypesIfCUDA, device_type=="cuda" branch in test_MaxUnpool_index_errors</t>
  </si>
  <si>
    <t>Neural Networks › Pruning</t>
  </si>
  <si>
    <t>nn/test_pruning.py</t>
  </si>
  <si>
    <t>Tests torch.nn.utils.prune pruning methods (L1, random, structured) including masking, serialization, and removal.</t>
  </si>
  <si>
    <t>Attention &amp; Transformers — Scaled dot-product attention, multi-head attention, and transformer layers</t>
  </si>
  <si>
    <t>Attention &amp; Transformers › Transformers &amp; SDPA</t>
  </si>
  <si>
    <t>nn/test_multihead_attention.py</t>
  </si>
  <si>
    <t>Tests nn.MultiheadAttention module including attention masks, key padding, nested tensors, and fast path behavior.</t>
  </si>
  <si>
    <t>Not device_type_tests; some tests use TEST_CUDA for cuda</t>
  </si>
  <si>
    <t>Tests device-parameterized MultiheadAttention operations including fast path, dtype support, and mask handling.</t>
  </si>
  <si>
    <t>Uses instantiate_device_type_tests; has 2 @onlyOn(["cuda","xpu",...]) tests, device string comparison</t>
  </si>
  <si>
    <t>test_native_mha.py</t>
  </si>
  <si>
    <t>Tests native _transform_bias_rescale_qkv implementation for multihead attention across devices.</t>
  </si>
  <si>
    <t>Uses instantiate_device_type_tests; has 5 @dtypesIfCUDA, 1 @onlyOn(["cuda","xpu"]) test, device=="cuda" branch</t>
  </si>
  <si>
    <t>test_transformers.py</t>
  </si>
  <si>
    <t>Tests nn.Transformer and TransformerEncoder/Decoder including BetterTransformer fast path and various input configurations.</t>
  </si>
  <si>
    <t>instantiate_device_type_tests with only_for=device_types (cpu/cuda/mps/mtia); has 5 @onlyCUDA tests, .cuda() calls, torch.cuda.* API calls, module-level device capability checks</t>
  </si>
  <si>
    <t>Overarching question is -- what is the strategy for PrivateUse1 &lt;&gt; SDPA</t>
  </si>
  <si>
    <t>Tests scaled_dot_product_attention error handling for invalid inputs, shapes, dtypes, and backend constraints.</t>
  </si>
  <si>
    <t>instantiate_device_type_tests with only_for=device_types (cpu/cuda/mps/mtia); has 27 @onlyCUDA tests</t>
  </si>
  <si>
    <t>UNSURE</t>
  </si>
  <si>
    <t>Tests scaled_dot_product_attention correctness across backends (flash, mem_efficient, math) with various dtypes and shapes.</t>
  </si>
  <si>
    <t>instantiate_device_type_tests with only_for=device_types (cpu/cuda/mps/mtia)</t>
  </si>
  <si>
    <t>Tests CPU-specific scaled_dot_product_attention behavior and optimizations.</t>
  </si>
  <si>
    <t>Tests CUDA-specific SDPA behavior including flash attention, memory-efficient attention, and cudnn backends.</t>
  </si>
  <si>
    <t>device_generic(only_for=cuda)</t>
  </si>
  <si>
    <t>instantiate_device_type_tests with only_for="cuda"</t>
  </si>
  <si>
    <t>Tests XPU-specific scaled_dot_product_attention behavior.</t>
  </si>
  <si>
    <t>device_generic(only_for=xpu)</t>
  </si>
  <si>
    <t>instantiate_device_type_tests with only_for="xpu"</t>
  </si>
  <si>
    <t>Tests attention bias variants (CausalBias, causal_lower_right, causal_upper_left) in scaled_dot_product_attention.</t>
  </si>
  <si>
    <t>test_varlen_attention.py</t>
  </si>
  <si>
    <t>Tests variable-length attention (varlen_attn) for packed sequences with different sequence lengths in a batch.</t>
  </si>
  <si>
    <t>instantiate_device_type_tests with only_for=("cuda",)</t>
  </si>
  <si>
    <t>Attention &amp; Transformers › NN Attention</t>
  </si>
  <si>
    <t>nn/attention/test_fa3.py</t>
  </si>
  <si>
    <t>Tests Flash Attention 3 (FA3) backend on Hopper GPUs for correctness against math reference and backward pass.</t>
  </si>
  <si>
    <t>nn/attention/test_fa4.py</t>
  </si>
  <si>
    <t>Tests Flash Attention 4 (FA4) backend on Hopper/Blackwell GPUs for correctness against math reference.</t>
  </si>
  <si>
    <t>nn/attention/test_open_registry.py</t>
  </si>
  <si>
    <t>Tests the flash attention implementation registry (register, activate, list) for pluggable FA backends.</t>
  </si>
  <si>
    <t>No device arg; tests registry API with fake implementations</t>
  </si>
  <si>
    <t>Optimizers — torch.optim optimizers and learning rate schedulers</t>
  </si>
  <si>
    <t>Optimizers › Core Optimizers</t>
  </si>
  <si>
    <t>test_functional_optim.py</t>
  </si>
  <si>
    <t>Tests parity between standard and functional (distributed) optimizer implementations for Adam, AdamW, and SGD.</t>
  </si>
  <si>
    <t>test_optim.py</t>
  </si>
  <si>
    <t>Tests optimizer correctness including algorithm validation, state management, parameter groups, and device/dtype handling.</t>
  </si>
  <si>
    <t>Uses instantiate_device_type_tests; has 5 @onlyCUDA tests (multigpu, mixed_device_dtype, foreach_large_tensor, peak_memory_foreach), device="cuda:0"/"cuda:1" literals, .cuda() calls, torch.cuda.reset_peak_memory_stats()</t>
  </si>
  <si>
    <r>
      <rPr>
        <rFont val="Arial"/>
      </rPr>
      <t xml:space="preserve">Some (e.g. test_forloop_goes_right_direction_multigpu) should be device generic, perhaps not for foreach/fused (?)- </t>
    </r>
    <r>
      <rPr>
        <rFont val="Arial"/>
        <color rgb="FF1155CC"/>
        <u/>
      </rPr>
      <t>#183728</t>
    </r>
  </si>
  <si>
    <t>Optimizers › Optim Subdirectory</t>
  </si>
  <si>
    <t>optim/test_lrscheduler.py</t>
  </si>
  <si>
    <t>Tests learning rate scheduler implementations (StepLR, CosineAnnealing, OneCycleLR, etc.) for correct LR progression.</t>
  </si>
  <si>
    <t>No device arg; uses CPU parameter tensors</t>
  </si>
  <si>
    <t>optim/test_optim.py</t>
  </si>
  <si>
    <t>Tests differentiable optimizer mode where optimizer steps are themselves differentiable via gradcheck.</t>
  </si>
  <si>
    <t>No device arg; uses CPU tensors with gradcheck</t>
  </si>
  <si>
    <t>optim/test_swa_utils.py</t>
  </si>
  <si>
    <t>Tests stochastic weight averaging utilities (AveragedModel, SWALR, update_bn) including cross-device averaging.</t>
  </si>
  <si>
    <t>Not device_type_tests; uses torch.cuda.is_available() for cuda tests</t>
  </si>
  <si>
    <t>https://github.com/pytorch/pytorch/pull/183874</t>
  </si>
  <si>
    <t>Linear Algebra — torch.linalg and matrix operations</t>
  </si>
  <si>
    <t>Linear Algebra › Linalg</t>
  </si>
  <si>
    <t>test_linalg.py</t>
  </si>
  <si>
    <t>Tests torch.linalg operations (svd, eig, solve, det, norm, matrix_exp, etc.) and einsum across dtypes.</t>
  </si>
  <si>
    <t>Uses instantiate_device_type_tests; has ~50 @onlyCUDA tests, ~138 @skipCUDA* decorators (NoMagma/NoCusolver/IfRocm etc.), 14 @dtypesIfCUDA, device_type=='cuda' branches, torch.cuda.tunable.* APIs</t>
  </si>
  <si>
    <r>
      <rPr>
        <rFont val="Arial"/>
        <color rgb="FF292A2E"/>
        <sz val="11.0"/>
      </rPr>
      <t xml:space="preserve"> </t>
    </r>
    <r>
      <rPr>
        <rFont val="Arial"/>
        <color rgb="FF1155CC"/>
        <sz val="11.0"/>
        <u/>
      </rPr>
      <t>[Test] Extract CUDA-only tests into TestLinalgCUDA for test_linalg by RiyaP2508 · Pull Request #183586 · pytorch/pytorch</t>
    </r>
    <r>
      <rPr>
        <rFont val="Arial"/>
        <color rgb="FF292A2E"/>
        <sz val="11.0"/>
      </rPr>
      <t xml:space="preserve"> , </t>
    </r>
    <r>
      <rPr>
        <rFont val="Arial"/>
        <color rgb="FF1155CC"/>
        <sz val="11.0"/>
        <u/>
      </rPr>
      <t>[Test] Convert 8 @onlyCUDA to @onlyAccelerator for test_linalg by RiyaP2508 · Pull Request #183587 · pytorch/pytorch</t>
    </r>
    <r>
      <rPr>
        <rFont val="Arial"/>
        <color rgb="FF292A2E"/>
        <sz val="11.0"/>
      </rPr>
      <t xml:space="preserve"> ,</t>
    </r>
    <r>
      <rPr>
        <rFont val="Arial"/>
        <color rgb="FF1155CC"/>
        <sz val="11.0"/>
        <u/>
      </rPr>
      <t>[Test] Replace wrong-device patterns with torch.accelerator for test_linalg by RiyaP2508 · Pull Request #183588 · pytorch/pytorch</t>
    </r>
  </si>
  <si>
    <t>test_matmul_cuda.py</t>
  </si>
  <si>
    <t>Tests CUDA-specific matmul optimizations including TF32, int8/fp8 quantized matmul, and BLAS backend selection.</t>
  </si>
  <si>
    <t>instantiate_device_type_tests with except_for="cpu"</t>
  </si>
  <si>
    <t>https://github.com/pytorch/pytorch/pull/185251</t>
  </si>
  <si>
    <t>Tests mixed-dtype linear operations on CUDA using quantized weight formats (int4, int8) with CUTLASS kernels.</t>
  </si>
  <si>
    <t>Serialization — torch.save, torch.load, and pickle compatibility</t>
  </si>
  <si>
    <t>Serialization › Serialization</t>
  </si>
  <si>
    <t>test_appending_byte_serializer.py</t>
  </si>
  <si>
    <t>Tests the AppendingByteSerializer utility for writing, reading, and checksumming byte-serialized data.</t>
  </si>
  <si>
    <t>Pure Python data structure tests; no tensors or devices used</t>
  </si>
  <si>
    <t>test_serialization.py</t>
  </si>
  <si>
    <t>Tests compatibility between old and new zipfile serialization formats for tensors.</t>
  </si>
  <si>
    <t>Uses instantiate_device_type_tests; device param used in torch.ones()</t>
  </si>
  <si>
    <t>Tests legacy (non-zip) serialization of containers, offsets, and data using the old format.</t>
  </si>
  <si>
    <t>Uses torch.randn() with no device arg (CPU only)</t>
  </si>
  <si>
    <t>Tests modern zipfile-based torch.save/load including dtypes, storages, views, maps, mmap, weights_only, and cross-device scenarios.</t>
  </si>
  <si>
    <t>Mixed: most tests CPU-only, some use skipIf(CUDA) for GPU paths</t>
  </si>
  <si>
    <t>https://github.com/pytorch/pytorch/pull/184261</t>
  </si>
  <si>
    <t>Tests serialization of tensor subclasses (TwoTensor, wrapper subclasses) through torch.save/load.</t>
  </si>
  <si>
    <t>Uses torch.randn()/torch.ones() with no device arg (CPU only)</t>
  </si>
  <si>
    <t>test_show_pickle.py</t>
  </si>
  <si>
    <t>Tests the show_pickle utility for displaying pickle contents of a TorchScript saved model.</t>
  </si>
  <si>
    <t>No device usage; creates CPU model and inspects pickle output</t>
  </si>
  <si>
    <t>Op Testing / OpInfo — OpInfo-driven parametric op tests</t>
  </si>
  <si>
    <t>Op Testing / OpInfo › OpInfo Tests</t>
  </si>
  <si>
    <t>test_ops.py</t>
  </si>
  <si>
    <t>Tests common op properties via OpInfo: dtypes, out= correctness, conjugate views, non-contiguous support, and complex half support.</t>
  </si>
  <si>
    <t>Uses instantiate_device_type_tests; has 2 @onlyOn(["cuda","xpu"]) tests (test_multiple_devices, test_compare_cpu), @skipCUDAIfNotRocm, device_type!="cuda" check in _extract_data_ptrs</t>
  </si>
  <si>
    <t>Should not have @onlyOn(["cuda", "xpu"]) on some</t>
  </si>
  <si>
    <t>Tests that composite ops correctly comply with autograd, FakeTensor, and dispatch key semantics.</t>
  </si>
  <si>
    <t>Uses instantiate_device_type_tests (device_generic)</t>
  </si>
  <si>
    <t>https://github.com/pytorch./pytorch/pulls/178849</t>
  </si>
  <si>
    <t>Tests that ops correctly handle conjugated, negated, and negative-strided tensors (math bit views).</t>
  </si>
  <si>
    <t>Tests that ops tagged as pointwise correctly produce pointwise results.</t>
  </si>
  <si>
    <t>Tests that aten ops can be called with "self" as a keyword argument.</t>
  </si>
  <si>
    <t>No device arg; uses torch.rand/torch.ops.aten on CPU</t>
  </si>
  <si>
    <t>Tests that Python reference implementations (torch._refs) match OpInfo specifications and produce correct results.</t>
  </si>
  <si>
    <t>instantiate_device_type_tests with only_for="cpu"; has @onlyCUDA on test_python_ref_executor</t>
  </si>
  <si>
    <t>Tests that FakeTensor mode correctly infers output metadata for ops from OpInfo database.</t>
  </si>
  <si>
    <t>Uses instantiate_device_type_tests; has 2 @onlyCUDA tests (test_fake_crossref_backward_*), torch.cuda.amp.autocast hardcoded, fake_autocast_device_skips["cuda"]</t>
  </si>
  <si>
    <t>Tests that forward-mode AD preserves dtype when combining 0D tensors with Python scalars for mul/add/div.</t>
  </si>
  <si>
    <t>test_ops_fwd_gradients.py</t>
  </si>
  <si>
    <t>Tests forward-mode automatic differentiation (gradcheck) for ops in op_db.</t>
  </si>
  <si>
    <t>test_ops_gradients.py</t>
  </si>
  <si>
    <t>Tests backward-mode automatic differentiation (gradcheck and gradgradcheck) for ops in op_db.</t>
  </si>
  <si>
    <t>test_ops_jit.py</t>
  </si>
  <si>
    <t>Tests JIT (traced and scripted) consistency with eager mode for ops in op_db.</t>
  </si>
  <si>
    <t>test_ops_unbacked.py</t>
  </si>
  <si>
    <t>Tests that ops can compile with fullgraph=True when tensor dimensions are marked as unbacked symints.</t>
  </si>
  <si>
    <t>instantiate_device_type_tests with only_for=DEVICE_TYPE ("cpu")</t>
  </si>
  <si>
    <t>Dispatch &amp; Overrides — Dispatcher, __torch_function__, and __torch_dispatch__</t>
  </si>
  <si>
    <t>Dispatch &amp; Overrides › Dispatch</t>
  </si>
  <si>
    <t>test_dispatch.py</t>
  </si>
  <si>
    <t>Tests dispatcher commutativity, registration ordering, and dispatch table correctness for operator registrations.</t>
  </si>
  <si>
    <t>Uses C._dispatch APIs only; no device-specific tensors</t>
  </si>
  <si>
    <t>Tests the PythonDispatcher utility for computing dispatch tables given kernel registrations.</t>
  </si>
  <si>
    <t>Pure dispatch table string tests; no tensor operations</t>
  </si>
  <si>
    <t>test_overrides.py</t>
  </si>
  <si>
    <t>Tests __torch_function__ override dispatch for custom tensor subclasses and API coverage.</t>
  </si>
  <si>
    <t>Uses custom subclasses; no device-specific operations</t>
  </si>
  <si>
    <t>Tests that torch.einsum correctly dispatches to __torch_function__ overrides.</t>
  </si>
  <si>
    <t>No device usage; tests dispatch with custom tensor</t>
  </si>
  <si>
    <t>Tests that torch.autograd.gradcheck works correctly with __torch_function__ tensor subclasses.</t>
  </si>
  <si>
    <t>No device usage; tests gradcheck dispatch</t>
  </si>
  <si>
    <t>Tests that namedtuples are correctly preserved through __torch_function__ dispatch.</t>
  </si>
  <si>
    <t>No device usage; tests tuple handling</t>
  </si>
  <si>
    <t>Tests that grad.new_ones works with __torch_function__ overrides.</t>
  </si>
  <si>
    <t>No device usage; tests new_ones dispatch</t>
  </si>
  <si>
    <t>Tests that tensor subclasses with __torch_function__ can be pickled and unpickled.</t>
  </si>
  <si>
    <t>No device usage; tests pickle roundtrip</t>
  </si>
  <si>
    <t>Tests that torch.broadcast_all and torch.broadcast_tensors work with __torch_function__ overrides.</t>
  </si>
  <si>
    <t>No device usage; tests broadcast dispatch</t>
  </si>
  <si>
    <t>Tests the wrap_torch_function decorator for wrapping torch functions with custom dispatch.</t>
  </si>
  <si>
    <t>No device usage; tests function wrapping</t>
  </si>
  <si>
    <t>Tests that indexing operations on tensor subclasses correctly dispatch to __torch_function__.</t>
  </si>
  <si>
    <t>No device usage; tests indexing dispatch</t>
  </si>
  <si>
    <t>Tests that iteration over tensor subclasses with __torch_function__ works correctly.</t>
  </si>
  <si>
    <t>No device usage; tests iterator protocol</t>
  </si>
  <si>
    <t>Tests that RNN modules work with __torch_function__ tensor subclasses.</t>
  </si>
  <si>
    <t>No device usage; tests nn.RNN dispatch</t>
  </si>
  <si>
    <t>Tests behavior when __torch_function__ is explicitly disabled on a tensor subclass.</t>
  </si>
  <si>
    <t>No device usage; tests disabled dispatch</t>
  </si>
  <si>
    <t>Tests the resolve_name utility for mapping torch functions to their string names.</t>
  </si>
  <si>
    <t>No device usage; tests name resolution</t>
  </si>
  <si>
    <t>Tests that deprecated __torch_function__ signatures produce appropriate warnings.</t>
  </si>
  <si>
    <t>No device usage; tests warning behavior</t>
  </si>
  <si>
    <t>Tests that user warnings are correctly disabled in certain __torch_function__ contexts.</t>
  </si>
  <si>
    <t>No device usage; tests warning suppression</t>
  </si>
  <si>
    <t>Tests TorchFunctionMode for global __torch_function__ interception including nesting, stacking, and context managers.</t>
  </si>
  <si>
    <t>No device usage; tests mode-based dispatch</t>
  </si>
  <si>
    <t>test_python_dispatch.py</t>
  </si>
  <si>
    <t>Tests Python bindings for the C++ dispatcher including call_boxed.</t>
  </si>
  <si>
    <t>Uses torch.randn(3) with no device arg (CPU only)</t>
  </si>
  <si>
    <t>Tests Python-side operator registration including fallbacks, custom namespaces, and dispatch key interactions.</t>
  </si>
  <si>
    <t>Mixed: most CPU, some tests use skipIf(CUDA) or "cuda" device</t>
  </si>
  <si>
    <t>https://github.com/pytorch/pytorch/pull/185068</t>
  </si>
  <si>
    <t>Tests __torch_dispatch__ (TorchDispatchMode) for logging, subclass dispatch, and mode interactions.</t>
  </si>
  <si>
    <t>Uses LoggingTensor wrapping CPU tensors throughout</t>
  </si>
  <si>
    <t>Tests PythonDispatcher helper for dispatch table computation.</t>
  </si>
  <si>
    <t>No tensor usage; pure dispatch table tests</t>
  </si>
  <si>
    <t>Tests that wrapper subclass ops correctly report aliasing behavior consistent with OpInfo.</t>
  </si>
  <si>
    <t>Data Loading — DataLoader, samplers, and data pipes</t>
  </si>
  <si>
    <t>Pin memory tests should be made device generic for deices that register pinned memory allocator</t>
  </si>
  <si>
    <t>Data Loading › Data Loading</t>
  </si>
  <si>
    <t>test_dataloader.py</t>
  </si>
  <si>
    <t>Tests random_split for correctly partitioning datasets with various length specifications.</t>
  </si>
  <si>
    <t>No device usage; tests dataset splitting logic</t>
  </si>
  <si>
    <t>Tests TensorDataset for indexing and length behavior with tensor inputs.</t>
  </si>
  <si>
    <t>No device usage; uses CPU tensors only</t>
  </si>
  <si>
    <t>Tests StackDataset for combining multiple datasets into stacked dict/tuple outputs.</t>
  </si>
  <si>
    <t>No device usage; tests dataset stacking logic</t>
  </si>
  <si>
    <t>Tests ConcatDataset for concatenating multiple datasets with correct indexing and cumulative sizes.</t>
  </si>
  <si>
    <t>No device usage; tests dataset concatenation</t>
  </si>
  <si>
    <t>Tests DataLoader for multiprocessing, batching, shuffling, worker management, and error handling.</t>
  </si>
  <si>
    <t>No device usage; tests CPU DataLoader behavior</t>
  </si>
  <si>
    <t>Tests DataLoader with nested tensors and sparse tensors in multiprocessing across devices.</t>
  </si>
  <si>
    <t>Uses instantiate_device_type_tests; has torch.cuda.is_available() check for pin_memory on CPU</t>
  </si>
  <si>
    <t>https://github.com/pytorch/pytorch/pull/185156</t>
  </si>
  <si>
    <t>Tests integration of DataPipes (shuffler, sharding) with DataLoader.</t>
  </si>
  <si>
    <t>No device usage; tests DataPipe-DataLoader integration</t>
  </si>
  <si>
    <t>Tests DataLoader with string datasets and pin_memory.</t>
  </si>
  <si>
    <t>skipIf(not TEST_CUDA) for pin_memory test</t>
  </si>
  <si>
    <t>Tests DataLoader with dict-returning datasets including pin_memory and device placement.</t>
  </si>
  <si>
    <t>Multiple tests use skipIf(not TEST_CUDA) for pin_memory</t>
  </si>
  <si>
    <t>Tests DataLoader with persistent_workers=True (inherits all TestDataLoader tests).</t>
  </si>
  <si>
    <t>Inherits TestDataLoader; no additional device usage</t>
  </si>
  <si>
    <t>Tests DataLoader with namedtuple-returning datasets and pin_memory behavior.</t>
  </si>
  <si>
    <t>pin_memory=TEST_CUDA; uses CUDA availability conditionally</t>
  </si>
  <si>
    <t>Tests DataLoader with custom pin_memory functions and collate_fn for batch pinning.</t>
  </si>
  <si>
    <t>skipIf(not TEST_CUDA) on test methods</t>
  </si>
  <si>
    <t>Tests DataLoader individual worker queue semantics for task distribution.</t>
  </si>
  <si>
    <t>No device usage; tests worker queue logic</t>
  </si>
  <si>
    <t>Tests worker CPU affinity setting in DataLoader multiprocessing.</t>
  </si>
  <si>
    <t xml:space="preserve">  - Your PyTorch core experience is transferable but not automatic — you need ExecuTorch-specific contributions</t>
  </si>
  <si>
    <t>No device usage; tests OS-level affinity</t>
  </si>
  <si>
    <t>Tests that convolution works correctly after fork in DataLoader workers.</t>
  </si>
  <si>
    <t>No device usage; tests CPU conv after fork</t>
  </si>
  <si>
    <t>Tests DataLoader behavior when workers return results out of order.</t>
  </si>
  <si>
    <t>No device usage; tests ordering logic</t>
  </si>
  <si>
    <t>test_datapipe.py</t>
  </si>
  <si>
    <t>Tests the DataChunk container for basic operations.</t>
  </si>
  <si>
    <t>No device usage; tests container class</t>
  </si>
  <si>
    <t>Tests StreamWrapper for wrapping file-like streams in DataPipe contexts.</t>
  </si>
  <si>
    <t>No device usage; tests stream wrapping</t>
  </si>
  <si>
    <t>Tests basic IterableDataPipe functionality including chaining and length.</t>
  </si>
  <si>
    <t>No device usage; tests DataPipe protocol</t>
  </si>
  <si>
    <t>Tests CaptureDataFrame for tracking DataFrame operations in DataPipes.</t>
  </si>
  <si>
    <t>No device usage; tests DataFrame capture</t>
  </si>
  <si>
    <t>Tests DataPipe operations on DataFrames (filter, shuffle, batch).</t>
  </si>
  <si>
    <t>No device usage; tests DataFrame DataPipes</t>
  </si>
  <si>
    <t>Tests functional API for IterDataPipe (map, filter, batch, etc.).</t>
  </si>
  <si>
    <t>No device usage; tests functional DataPipe ops</t>
  </si>
  <si>
    <t>Tests functional API for MapDataPipe (map, concat, etc.).</t>
  </si>
  <si>
    <t>No device usage; tests MapDataPipe ops</t>
  </si>
  <si>
    <t>Tests type annotations and runtime type validation for DataPipes.</t>
  </si>
  <si>
    <t>No device usage; tests typing infrastructure</t>
  </si>
  <si>
    <t>Tests DataPipe graph traversal and visualization utilities.</t>
  </si>
  <si>
    <t>No device usage; tests graph structure</t>
  </si>
  <si>
    <t>Tests serialization (pickle/dill) of DataPipes and their state.</t>
  </si>
  <si>
    <t>No device usage; tests DataPipe serialization</t>
  </si>
  <si>
    <t>Tests serialization of DataPipes with circular references.</t>
  </si>
  <si>
    <t>No device usage; tests circular dependency handling</t>
  </si>
  <si>
    <t>Tests DataPipe sharding for distributed data loading.</t>
  </si>
  <si>
    <t>No device usage; tests sharding logic</t>
  </si>
  <si>
    <t>Tests that IterDataPipe enforces singleton iterator constraint.</t>
  </si>
  <si>
    <t>No device usage; tests iterator constraint</t>
  </si>
  <si>
    <t>Tests counting of yielded samples in IterDataPipe.</t>
  </si>
  <si>
    <t>No device usage; tests sample counting</t>
  </si>
  <si>
    <t>Tests fast-forward functionality for IterDataPipe graph state restoration.</t>
  </si>
  <si>
    <t>No device usage; tests fast-forward logic</t>
  </si>
  <si>
    <t>C++ Extensions — C++ extension building, API parity, and custom backends</t>
  </si>
  <si>
    <t>C++ Extensions › C++ Extensions</t>
  </si>
  <si>
    <t>no unless someone asks for something</t>
  </si>
  <si>
    <t>test_cpp_api_parity.py</t>
  </si>
  <si>
    <t>Tests that C++ API for nn modules/functionals produces results matching Python on both CPU and CUDA.</t>
  </si>
  <si>
    <t>Tests auto-generated for ["cpu", "cuda"] devices</t>
  </si>
  <si>
    <t>Riya Punia</t>
  </si>
  <si>
    <t>test_cpp_extensions_aot.py</t>
  </si>
  <si>
    <t>Tests ahead-of-time compiled C++ extensions for function, module, backward, and device-specific ops.</t>
  </si>
  <si>
    <t>Mixed: most CPU, some skipIf(not TEST_CUDA/MPS/XPU)</t>
  </si>
  <si>
    <t>https://github.com/pytorch/pytorch/pull/185648</t>
  </si>
  <si>
    <t>Tests pybind11 type casters for correct Python type conversion of C++ return types.</t>
  </si>
  <si>
    <t>No device usage; tests type caster bindings</t>
  </si>
  <si>
    <t>Tests the MAIA (custom PrivateUse1) device tensor registration and operations.</t>
  </si>
  <si>
    <t>hardcoded_privateuse1</t>
  </si>
  <si>
    <t>Hardcoded "maia" device throughout</t>
  </si>
  <si>
    <t>Tests custom RNG generator extension for CPU.</t>
  </si>
  <si>
    <t>Uses CPU tensors; tests RNG generator on CPU</t>
  </si>
  <si>
    <t>Tests torch::Library registration and dispatch from C++ extensions.</t>
  </si>
  <si>
    <t>No device-specific code; tests library registration</t>
  </si>
  <si>
    <t>test_cpp_extensions_jit.py</t>
  </si>
  <si>
    <t>Tests just-in-time compiled C++ extensions including CUDA, custom ops, and half-precision support.</t>
  </si>
  <si>
    <t>Mixed: some CPU, some skipIf(not CUDA/ROCM)</t>
  </si>
  <si>
    <t>test_cpp_extensions_mtia_backend.py</t>
  </si>
  <si>
    <t>Tests MTIA backend registration with C++ extensions for streams, events, and device management.</t>
  </si>
  <si>
    <t>Uses fake MTIA device; skipped if CUDA/XPU/PrivateUse1 present</t>
  </si>
  <si>
    <t>test_cpp_extensions_stream_and_event.py</t>
  </si>
  <si>
    <t>Tests generic Stream and Event APIs using a fake MTIA backend C++ extension.</t>
  </si>
  <si>
    <t>Uses fake MTIA device; skipped if other backends present</t>
  </si>
  <si>
    <t>test_extension_utils.py</t>
  </si>
  <si>
    <t>Tests extension utility functions for device module registration and PrivateUse1 backend renaming.</t>
  </si>
  <si>
    <t>No real device tensors; tests registration APIs</t>
  </si>
  <si>
    <t>C++ Extensions › C++ Extensions Subdirectory</t>
  </si>
  <si>
    <t>cpp_extensions/open_registration_extension/torch_openreg/tests/test_autocast.py</t>
  </si>
  <si>
    <t>Tests autocast (AMP) behavior on the openreg PrivateUse1 device including dtype casting and nesting.</t>
  </si>
  <si>
    <t>All tests use device="openreg" (hardcoded PrivateUse1)</t>
  </si>
  <si>
    <t>cpp_extensions/open_registration_extension/torch_openreg/tests/test_autograd.py</t>
  </si>
  <si>
    <t>Tests autograd operations (backward, no_grad, detach, retain_grad) on the openreg accelerator device.</t>
  </si>
  <si>
    <t>accelerator</t>
  </si>
  <si>
    <t>All tests use device="openreg" via torch.accelerator API</t>
  </si>
  <si>
    <t>cpp_extensions/open_registration_extension/torch_openreg/tests/test_device.py</t>
  </si>
  <si>
    <t>Tests device management (count, switch, context, properties) for the openreg accelerator.</t>
  </si>
  <si>
    <t>All tests use torch.accelerator API (device-agnostic accelerator)</t>
  </si>
  <si>
    <t>cpp_extensions/open_registration_extension/torch_openreg/tests/test_event.py</t>
  </si>
  <si>
    <t>Tests Event API (create, query, record, elapsed_time, synchronize) on the openreg device.</t>
  </si>
  <si>
    <t>cpp_extensions/open_registration_extension/torch_openreg/tests/test_memory.py</t>
  </si>
  <si>
    <t>Tests OpenReg device allocator for basic allocation, lifecycle, dtypes, views, and inplace ops.</t>
  </si>
  <si>
    <t>Tests that OpenReg device allocator does not leak memory across allocation/deallocation cycles.</t>
  </si>
  <si>
    <t>Tests pin_memory functionality for tensors, storage, and views with the openreg backend.</t>
  </si>
  <si>
    <t>CPU tensors pinned via openreg; no device tensors created</t>
  </si>
  <si>
    <t>Tests multi-device allocation and memory isolation across openreg:0 and openreg:1.</t>
  </si>
  <si>
    <t>All tests use "openreg:0" and "openreg:1" devices</t>
  </si>
  <si>
    <t>Tests cross-device memory operations (CPU to/from openreg) including tensor copying, storage sharing, and pin_memory.</t>
  </si>
  <si>
    <t>Hardcodes "openreg" (privateuse1) device throughout all tests.</t>
  </si>
  <si>
    <t>cpp_extensions/open_registration_extension/torch_openreg/tests/test_misc.py</t>
  </si>
  <si>
    <t>Tests backend module properties like device_count, current_device, synchronize, and memory stats for the openreg backend.</t>
  </si>
  <si>
    <t>Hardcodes "openreg" (privateuse1) device in all tests.</t>
  </si>
  <si>
    <t>Tests that device-specific properties like is_available, device_count, and exchange_device work for the openreg backend.</t>
  </si>
  <si>
    <t>Tests tensor type checking and casting between openreg device types (FloatTensor, DoubleTensor, etc.).</t>
  </si>
  <si>
    <t>cpp_extensions/open_registration_extension/torch_openreg/tests/test_ops.py</t>
  </si>
  <si>
    <t>Tests tensor factory functions (empty, zeros, ones, rand, etc.) on the openreg custom backend device.</t>
  </si>
  <si>
    <t>Tests tensor copy operations between CPU and the openreg custom device.</t>
  </si>
  <si>
    <t>Tests basic tensor operations (add, mul, fill, zero_, etc.) on the openreg custom backend device.</t>
  </si>
  <si>
    <t>Tests that custom backend ops that fall through to CPU via the BackendSelect stub work correctly.</t>
  </si>
  <si>
    <t>Tests use only CPU tensors; no device argument specified.</t>
  </si>
  <si>
    <t>Tests quantization operations (per-tensor and per-channel quantize/dequantize) on the openreg device.</t>
  </si>
  <si>
    <t>Tests custom autograd functions running on the openreg device.</t>
  </si>
  <si>
    <t>Tests that operations without custom backend implementations fall back to CPU correctly on the openreg device.</t>
  </si>
  <si>
    <t>Tests scaled dot-product attention on the openreg custom backend device.</t>
  </si>
  <si>
    <t>Tests extended tensor factory functions on the openreg device using the renamed "openreg" backend.</t>
  </si>
  <si>
    <t>Tests extended copy operations on the openreg device using the renamed "openreg" backend.</t>
  </si>
  <si>
    <t>Tests extended ops on the openreg device using the renamed "openreg" backend.</t>
  </si>
  <si>
    <t>Tests stub/fallback behavior for the extended openreg backend registration.</t>
  </si>
  <si>
    <t>Tests extended quantization operations on the openreg device.</t>
  </si>
  <si>
    <t>Tests extended fallback behavior for ops on the openreg device.</t>
  </si>
  <si>
    <t>Tests extended SDPA operations on the openreg device.</t>
  </si>
  <si>
    <t>Tests custom autograd functions on the openreg device including backward pass correctness.</t>
  </si>
  <si>
    <t>cpp_extensions/open_registration_extension/torch_openreg/tests/test_profiler.py</t>
  </si>
  <si>
    <t>Tests basic profiler functionality (record_function, profiling tensor ops) on the openreg custom backend device.</t>
  </si>
  <si>
    <t>Tests profiler edge cases (empty profiles, nested contexts, rapid start/stop) on the openreg device.</t>
  </si>
  <si>
    <t>Tests profiler behavior with cross-device operations between CPU and openreg device.</t>
  </si>
  <si>
    <t>Tests profiler integration with autograd and memory profiling on the openreg device.</t>
  </si>
  <si>
    <t>Tests that profiler overhead is reasonable when profiling operations on the openreg device.</t>
  </si>
  <si>
    <t>cpp_extensions/open_registration_extension/torch_openreg/tests/test_rng.py</t>
  </si>
  <si>
    <t>Tests random number generator state management (get/set rng_state, manual_seed) on the openreg device.</t>
  </si>
  <si>
    <t>cpp_extensions/open_registration_extension/torch_openreg/tests/test_storage.py</t>
  </si>
  <si>
    <t>Tests typed and untyped storage creation and basic properties using CPU tensors.</t>
  </si>
  <si>
    <t>No device arg used; all tests operate on default CPU tensors.</t>
  </si>
  <si>
    <t>Tests save/load serialization of tensors on the openreg custom device.</t>
  </si>
  <si>
    <t>cpp_extensions/open_registration_extension/torch_openreg/tests/test_streams.py</t>
  </si>
  <si>
    <t>Tests stream creation, context management, synchronization, and event handling on the openreg device.</t>
  </si>
  <si>
    <t>Uses torch.accelerator APIs and hardcodes "openreg" device strings.</t>
  </si>
  <si>
    <t>cpp_extensions/open_registration_extension/torch_openreg/tests/test_utils.py</t>
  </si>
  <si>
    <t>Tests DLPack tensor import/export between the openreg custom device and other frameworks.</t>
  </si>
  <si>
    <t>cpp_extensions/python_agnostic_extension/test/test_python_agnostic.py</t>
  </si>
  <si>
    <t>Tests that Python-agnostic C++ extensions work correctly across devices using the stable ABI.</t>
  </si>
  <si>
    <t>Uses instantiate_device_type_tests with only_for=variable (supported devices).</t>
  </si>
  <si>
    <t>cpp_extensions/test_libtorch_agnostic.py</t>
  </si>
  <si>
    <t>Tests libtorch-agnostic C++ extension loading, kernel dispatch, and ABI compatibility across devices.</t>
  </si>
  <si>
    <t>Uses instantiate_device_type_tests; has 1 @onlyCUDA test (test_identity_does_not_hog_memory), extensive torch.cuda.memory_allocated() calls (guarded by t.is_cuda)</t>
  </si>
  <si>
    <t>Not immediately important as stable ABI strategy for PrivateUse1 is unclear</t>
  </si>
  <si>
    <t>Custom Operators — Custom op registration via torch.library</t>
  </si>
  <si>
    <t>Custom Operators › Custom Ops</t>
  </si>
  <si>
    <t>custom_backend/test_custom_backend.py</t>
  </si>
  <si>
    <t>Tests the custom JIT backend lowering delegate with module compilation and execution.</t>
  </si>
  <si>
    <t>No device arg; uses default CPU tensors throughout.</t>
  </si>
  <si>
    <t>custom_operator/test_custom_ops.py</t>
  </si>
  <si>
    <t>Tests registering and calling custom C++ operators including schema inference and autograd.</t>
  </si>
  <si>
    <t>Uses only CPU tensors; no device argument specified.</t>
  </si>
  <si>
    <t>custom_operator/test_infer_schema_annotation.py</t>
  </si>
  <si>
    <t>Tests automatic schema inference from Python type annotations for custom operators.</t>
  </si>
  <si>
    <t>No device usage; tests pure schema string generation.</t>
  </si>
  <si>
    <t>test_custom_ops.py</t>
  </si>
  <si>
    <t>Base test class providing helper methods (lib creation, op lookup, teardown) for custom op tests.</t>
  </si>
  <si>
    <t>No device usage; only provides scaffolding for subclasses.</t>
  </si>
  <si>
    <t>Tests opcheck test utilities (aot_autograd_check, schema validation, etc.) for custom operators across devices.</t>
  </si>
  <si>
    <t>Uses instantiate_device_type_tests with only_for=("cpu","cuda","xpu").</t>
  </si>
  <si>
    <t>UNSURE (PT2)</t>
  </si>
  <si>
    <t>Tests the custom_op decorator API including registration, impl, FakeTensor support, and compilation.</t>
  </si>
  <si>
    <t>Most tests CPU-only; some methods use @skipIf(not TEST_CUDA).</t>
  </si>
  <si>
    <t>https://github.com/pytorch/pytorch/pull/185053</t>
  </si>
  <si>
    <t>Minimal test suite for opcheck auto-generated tests using simple ops like mm and nonzero.</t>
  </si>
  <si>
    <t>All tests use CPU tensors; no device arg specified.</t>
  </si>
  <si>
    <t>Tests the torch.library.custom_op public API including registration, autograd, autocast, and FakeTensor.</t>
  </si>
  <si>
    <t>Most tests CPU-only; several methods use @skipIf(not TEST_CUDA).</t>
  </si>
  <si>
    <t>Additional minimal opcheck test with a nonzero test case to verify generate_tests infrastructure.</t>
  </si>
  <si>
    <t>Tests the auto-generation of opcheck tests and repro script generation utilities.</t>
  </si>
  <si>
    <t>No CUDA usage; tests only check test method existence and repro strings.</t>
  </si>
  <si>
    <t>Tests type annotation conversion error messages when custom op schema inference encounters wrong types.</t>
  </si>
  <si>
    <t>No device usage; tests pure Python type conversion logic.</t>
  </si>
  <si>
    <t>Tests the OpProfile infrastructure for profiling custom op argument types and dispatch keys.</t>
  </si>
  <si>
    <t>Uses torch.device("cpu") in profile metadata; no GPU usage.</t>
  </si>
  <si>
    <t>test_opaque_obj_v2.py</t>
  </si>
  <si>
    <t>Tests the opaque object (v2) system for registering custom Python types usable in torch.compile and FX tracing.</t>
  </si>
  <si>
    <t>No device usage; all tests use default CPU tensors.</t>
  </si>
  <si>
    <t>Device Backends &amp; Accelerator — Generic accelerator API and PrivateUse1 mechanism</t>
  </si>
  <si>
    <t>Device Backends &amp; Accelerator › Accelerator &amp; PrivateUse1</t>
  </si>
  <si>
    <t>test_accelerator.py</t>
  </si>
  <si>
    <t>Tests the torch.accelerator generic API for device queries, stream management, and synchronization.</t>
  </si>
  <si>
    <t>Uses torch.accelerator APIs; requires any available accelerator.</t>
  </si>
  <si>
    <t>test_autoload.py</t>
  </si>
  <si>
    <t>Tests that custom device backends are automatically loaded via entrypoints when accessing their device.</t>
  </si>
  <si>
    <t>Tests privateuse1 autoload mechanism with mock backend modules.</t>
  </si>
  <si>
    <t>test_privateuseone_python_backend.py</t>
  </si>
  <si>
    <t>Tests the PrivateUse1 Python backend registration including module/hook registration, generators, and storage.</t>
  </si>
  <si>
    <t>Hardcodes privateuse1 custom device ("foo") throughout all tests.</t>
  </si>
  <si>
    <t>test_rename_privateuse1_to_existing_device.py</t>
  </si>
  <si>
    <t>Tests that renaming privateuse1 to an existing backend name (like "cpu" or "cuda") raises errors.</t>
  </si>
  <si>
    <t>Hardcodes privateuse1 rename operations; no actual device tensors.</t>
  </si>
  <si>
    <t>Device Backends &amp; Accelerator › Backends</t>
  </si>
  <si>
    <t>backends/xeon/test_launch.py</t>
  </si>
  <si>
    <t>Tests the Xeon backend torchrun launch configuration including CPU-specific optimizations.</t>
  </si>
  <si>
    <t>All tests use CPU-only launch configs and settings.</t>
  </si>
  <si>
    <t>Multiprocessing — Process spawning, tensor sharing, and CUDA IPC</t>
  </si>
  <si>
    <t>Multiprocessing › Multiprocessing</t>
  </si>
  <si>
    <t>test_futures.py</t>
  </si>
  <si>
    <t>Tests torch.futures.Future functionality including callbacks, value setting, error handling, and async operations.</t>
  </si>
  <si>
    <t>No device usage; tests pure Future/async mechanics.</t>
  </si>
  <si>
    <t>test_multiprocessing.py</t>
  </si>
  <si>
    <t>Tests multiprocessing tensor sharing, IPC, storage sharing, and cross-process communication.</t>
  </si>
  <si>
    <t>Most tests CPU; several methods guarded by TEST_CUDA_IPC for CUDA sharing.</t>
  </si>
  <si>
    <t>https://github.com/pytorch/pytorch/pull/184737</t>
  </si>
  <si>
    <t>test_multiprocessing_spawn.py</t>
  </si>
  <si>
    <t>Tests torch.multiprocessing.spawn for launching multiple worker processes.</t>
  </si>
  <si>
    <t>No device usage; tests process spawning mechanics.</t>
  </si>
  <si>
    <t>Tests multiprocessing with fork start method for process creation.</t>
  </si>
  <si>
    <t>No device usage; tests fork-based process spawning.</t>
  </si>
  <si>
    <t>Tests that the forkserver start method works correctly for multiprocessing.</t>
  </si>
  <si>
    <t>No device usage; tests forkserver process spawning.</t>
  </si>
  <si>
    <t>Tests performance characteristics of forkserver-based multiprocessing.</t>
  </si>
  <si>
    <t>No device usage; tests process spawning performance.</t>
  </si>
  <si>
    <t>Tests error handling and propagation in multiprocessing spawn.</t>
  </si>
  <si>
    <t>No device usage; tests exception handling in spawned processes.</t>
  </si>
  <si>
    <t>test_numa_binding.py</t>
  </si>
  <si>
    <t>Tests NUMA CPU affinity binding for GPU-associated processes using mock hardware topology.</t>
  </si>
  <si>
    <t>Mocks torch.cuda device properties; no real CUDA tensors used.</t>
  </si>
  <si>
    <t>https://github.com/pytorch/pytorch/pull/185266</t>
  </si>
  <si>
    <t>Utilities &amp; Testing Infra — Testing framework, CI infrastructure, typing, and misc utilities</t>
  </si>
  <si>
    <t>Utilities &amp; Testing Infra › Testing Framework</t>
  </si>
  <si>
    <t>test_comparison_utils.py</t>
  </si>
  <si>
    <t>Tests torch._assert_tensor_metadata for validating tensor shape, stride, dtype, device, and layout.</t>
  </si>
  <si>
    <t>Most tests CPU; one test guarded by torch.cuda.is_available().</t>
  </si>
  <si>
    <t>test_file_check.py</t>
  </si>
  <si>
    <t>Tests the FileCheck text pattern-matching utility API (check, check_next, check_not, etc.).</t>
  </si>
  <si>
    <t>No device usage; tests pure string matching.</t>
  </si>
  <si>
    <t>test_testing.py</t>
  </si>
  <si>
    <t>Tests TestCase assertion methods (assertEqual, isclose) and device-type test infrastructure.</t>
  </si>
  <si>
    <t>Uses instantiate_device_type_tests; has 3 @onlyCUDA tests (CUDA assertion tests), dtypesIfCUDA reference</t>
  </si>
  <si>
    <t>https://github.com/pytorch/pytorch/pull/184718</t>
  </si>
  <si>
    <t>Tests framework testing utilities like test filtering, discovery, and CI integration helpers.</t>
  </si>
  <si>
    <t>No device usage; tests pure Python test infrastructure.</t>
  </si>
  <si>
    <t>Tests torch.testing.assert_close for comparing tensors including type, shape, dtype, and layout checks.</t>
  </si>
  <si>
    <t>hardcoded_meta</t>
  </si>
  <si>
    <t>Uses torch.empty/rand on CPU; one test uses device="meta".</t>
  </si>
  <si>
    <t>Tests torch.testing.assert_close behavior when comparing tensors on different devices.</t>
  </si>
  <si>
    <t>Uses instantiate_device_type_tests with only_for="cuda".</t>
  </si>
  <si>
    <t>Tests the error message formatting of torch.testing.assert_close for various mismatch types.</t>
  </si>
  <si>
    <t>Tests torch.testing.assert_close with container inputs (sequences, mappings).</t>
  </si>
  <si>
    <t>Tests torch.testing.assert_close with sparse COO tensor inputs.</t>
  </si>
  <si>
    <t>No device usage; all tests use default CPU sparse tensors.</t>
  </si>
  <si>
    <t>Tests torch.testing.assert_close with sparse CSR tensor inputs.</t>
  </si>
  <si>
    <t>Tests torch.testing.assert_close with sparse CSC tensor inputs.</t>
  </si>
  <si>
    <t>Tests torch.testing.assert_close with sparse BSR tensor inputs.</t>
  </si>
  <si>
    <t>Tests torch.testing.assert_close with sparse BSC tensor inputs.</t>
  </si>
  <si>
    <t>Tests torch.testing.assert_close with quantized tensor inputs.</t>
  </si>
  <si>
    <t>No device usage; all tests use default CPU quantized tensors.</t>
  </si>
  <si>
    <t>Tests the torch.testing.make_tensor factory function across dtypes, shapes, and devices.</t>
  </si>
  <si>
    <t>Uses instantiate_device_type_tests for device-generic testing.</t>
  </si>
  <si>
    <t>Tests the @parametrize decorator and instantiate_parametrized_tests for test generation.</t>
  </si>
  <si>
    <t>No device usage; tests parametrization infrastructure.</t>
  </si>
  <si>
    <t>Tests the interaction of @parametrize with instantiate_device_type_tests for device-typed parametrized tests.</t>
  </si>
  <si>
    <t>Tests that torch submodule imports work correctly and don't have unexpected side effects.</t>
  </si>
  <si>
    <t>No device usage; tests import mechanics.</t>
  </si>
  <si>
    <t>Tests the OpInfo and SampleInput infrastructure for correctness of metadata and construction.</t>
  </si>
  <si>
    <t>No device usage; tests OpInfo data structures.</t>
  </si>
  <si>
    <t>Tests that OpInfo sample/error input generators produce valid inputs across devices and dtypes.</t>
  </si>
  <si>
    <t>Uses instantiate_device_type_tests with @ops for device-generic testing.</t>
  </si>
  <si>
    <t>Utilities &amp; Testing Infra › Utilities</t>
  </si>
  <si>
    <t>benchmark_utils/test_benchmark_utils.py</t>
  </si>
  <si>
    <t>Tests torch.utils.benchmark Timer, Measurement, and Callgrind integration utilities.</t>
  </si>
  <si>
    <t>No device usage; benchmarks run on CPU.</t>
  </si>
  <si>
    <t>test_flop_counter.py</t>
  </si>
  <si>
    <t>Tests the FlopCounterMode utility for counting floating-point operations of various ops.</t>
  </si>
  <si>
    <t>Most tests CPU; several methods guarded by @skipIf(not HAS_CUDA).</t>
  </si>
  <si>
    <t>CUDA hardcodes are for sdpa, scaled_mm etc. perhaps needs refactoring in future but not for now</t>
  </si>
  <si>
    <t>test_logging.py</t>
  </si>
  <si>
    <t>Tests that PyTorch API usage logging is triggered correctly on import.</t>
  </si>
  <si>
    <t>No device usage; tests logging via subprocess.</t>
  </si>
  <si>
    <t>test_module_tracker.py</t>
  </si>
  <si>
    <t>Tests ModuleTracker for tracking module hierarchy during forward and backward passes.</t>
  </si>
  <si>
    <t>test_monitor.py</t>
  </si>
  <si>
    <t>Tests the torch.monitor Stat and Event system for collecting and reporting metrics.</t>
  </si>
  <si>
    <t>No device usage; tests pure monitoring infrastructure.</t>
  </si>
  <si>
    <t>Tests the TensorboardEventHandler integration with torch.monitor events.</t>
  </si>
  <si>
    <t>No device usage; tests event file writing.</t>
  </si>
  <si>
    <t>test_pytree.py</t>
  </si>
  <si>
    <t>Tests generic pytree operations (flatten, unflatten, tree_map) across Python and C++ implementations.</t>
  </si>
  <si>
    <t>No device usage; tests tree structure operations.</t>
  </si>
  <si>
    <t>Tests the Python implementation of pytree utilities.</t>
  </si>
  <si>
    <t>No device usage; tests pure Python tree operations.</t>
  </si>
  <si>
    <t>Tests the C++ implementation of pytree utilities.</t>
  </si>
  <si>
    <t>No device usage; tests C++ pytree bindings.</t>
  </si>
  <si>
    <t>test_throughput_benchmark.py</t>
  </si>
  <si>
    <t>Tests the ThroughputBenchmark utility for measuring model inference throughput.</t>
  </si>
  <si>
    <t>No device usage; all tests use default CPU models.</t>
  </si>
  <si>
    <t>test_utils.py</t>
  </si>
  <si>
    <t>Tests torch.utils.checkpoint for gradient checkpointing with sequential models.</t>
  </si>
  <si>
    <t>Most tests CPU; several guarded by @skipIf(not TEST_GPU) for GPU RNG.</t>
  </si>
  <si>
    <t>https://github.com/pytorch/pytorch/pull/184326</t>
  </si>
  <si>
    <t>Tests DataLoader utility functions like random seed generation and worker management.</t>
  </si>
  <si>
    <t>No device usage; tests DataLoader infrastructure.</t>
  </si>
  <si>
    <t>Tests the torch.utils.collect_env utility for gathering system environment info.</t>
  </si>
  <si>
    <t>No device usage; tests environment reporting.</t>
  </si>
  <si>
    <t>Tests that the hipify_python module can be imported correctly.</t>
  </si>
  <si>
    <t>No device usage; tests import only.</t>
  </si>
  <si>
    <t>Tests the trie data structure used by the HIPify conversion tool.</t>
  </si>
  <si>
    <t>No device usage; tests trie string operations.</t>
  </si>
  <si>
    <t>Tests the torch._assert and internal assertion utilities.</t>
  </si>
  <si>
    <t>No device usage; tests assertion mechanics.</t>
  </si>
  <si>
    <t>Tests standalone C++ JIT compilation and loading of extensions.</t>
  </si>
  <si>
    <t>No device usage; tests C++ compilation infrastructure.</t>
  </si>
  <si>
    <t>Tests torch._utils.render_call for generating human-readable function call representations.</t>
  </si>
  <si>
    <t>No device usage; tests string rendering.</t>
  </si>
  <si>
    <t>Tests torch.device context managers, device inference, and device state utilities.</t>
  </si>
  <si>
    <t>Tests C++ extension utility functions like compiler checks.</t>
  </si>
  <si>
    <t>No device usage; tests build infrastructure.</t>
  </si>
  <si>
    <t>Tests torch._C._profiler CapturedTraceback for capturing Python call stacks.</t>
  </si>
  <si>
    <t>No device usage; tests traceback capture mechanics.</t>
  </si>
  <si>
    <t>Tests the torch._utils.try_import utility for optional module imports.</t>
  </si>
  <si>
    <t>No device usage; tests import utility.</t>
  </si>
  <si>
    <t>Tests the torch._utils.deprecated decorator for deprecation warnings.</t>
  </si>
  <si>
    <t>No device usage; tests deprecation warnings.</t>
  </si>
  <si>
    <t>Tests that lazy device initialization works correctly and detects fork-after-init issues.</t>
  </si>
  <si>
    <t>Uses instantiate_device_type_tests, except_for=["cpu"].</t>
  </si>
  <si>
    <t>test_utils_config_module.py</t>
  </si>
  <si>
    <t>Tests the _config_module infrastructure for managing typed configuration options.</t>
  </si>
  <si>
    <t>No device usage; tests config management.</t>
  </si>
  <si>
    <t>test_utils_filelock.py</t>
  </si>
  <si>
    <t>Tests the torch.utils._filelock.FileLock for cross-process file locking.</t>
  </si>
  <si>
    <t>No device usage; tests file locking mechanics.</t>
  </si>
  <si>
    <t>Utilities &amp; Testing Infra › CI &amp; Compliance</t>
  </si>
  <si>
    <t>test_ci_sanity_check_fail.py</t>
  </si>
  <si>
    <t>Intentionally-failing test to verify CI rerun infrastructure works correctly.</t>
  </si>
  <si>
    <t>No device usage; tests CI environment variables.</t>
  </si>
  <si>
    <t>test_compile_benchmark_util.py</t>
  </si>
  <si>
    <t>Tests the torch.utils.benchmark compile benchmarking utility for measuring compile vs eager performance.</t>
  </si>
  <si>
    <t>All tests require CUDA; hardcodes .cuda() calls.</t>
  </si>
  <si>
    <t>https://github.com/pytorch/pytorch/pull/185209</t>
  </si>
  <si>
    <t>test_determination.py</t>
  </si>
  <si>
    <t>Tests the CI test determination logic that selects which tests to run based on changed files.</t>
  </si>
  <si>
    <t>No device usage; tests CI determination infrastructure.</t>
  </si>
  <si>
    <t>test_function_schema.py</t>
  </si>
  <si>
    <t>Tests parsing, serialization, and hashing of JIT function schemas.</t>
  </si>
  <si>
    <t>No device usage; tests schema string operations.</t>
  </si>
  <si>
    <t>test_import_stats.py</t>
  </si>
  <si>
    <t>Tests and tracks the import time of torch and torch.cuda.device_count().</t>
  </si>
  <si>
    <t>No device usage; measures import performance.</t>
  </si>
  <si>
    <t>test_license.py</t>
  </si>
  <si>
    <t>Tests that the bundled third-party license file is up to date.</t>
  </si>
  <si>
    <t>No device usage; tests license file contents.</t>
  </si>
  <si>
    <t>test_namedtuple_return_api.py</t>
  </si>
  <si>
    <t>Tests that operators returning named tuples have correct field names matching native_functions.yaml.</t>
  </si>
  <si>
    <t>No device usage; tests schema/API consistency.</t>
  </si>
  <si>
    <t>test_native_functions.py</t>
  </si>
  <si>
    <t>Tests native function features like optional int/float list arguments and string list validation.</t>
  </si>
  <si>
    <t>test_openmp.py</t>
  </si>
  <si>
    <t>Tests that OpenMP parallel_for does not leak memory during repeated inference.</t>
  </si>
  <si>
    <t>Uses explicit device="cpu"; monitors RSS memory on CPU.</t>
  </si>
  <si>
    <t>test_per_overload_api.py</t>
  </si>
  <si>
    <t>Tests the per-overload API for torch.ops (OpOverloadPacket, OpOverload) attribute access and dispatch.</t>
  </si>
  <si>
    <t>No device usage; tests op metadata.</t>
  </si>
  <si>
    <t>test_public_bindings.py</t>
  </si>
  <si>
    <t>Tests that torch public API bindings are correct and no unexpected re-exports are introduced.</t>
  </si>
  <si>
    <t>No device usage; tests module introspection.</t>
  </si>
  <si>
    <t>test_torch_config_hash_determinism.py</t>
  </si>
  <si>
    <t>Tests that inductor config values are deterministic and don't contain machine-specific paths.</t>
  </si>
  <si>
    <t>No device usage; tests config hash determinism.</t>
  </si>
  <si>
    <t>test_type_hints.py</t>
  </si>
  <si>
    <t>Tests type hints and mypy type checking for torch APIs using docstring examples.</t>
  </si>
  <si>
    <t>No device usage; tests type annotation correctness.</t>
  </si>
  <si>
    <t>test_typing.py</t>
  </si>
  <si>
    <t>Tests mypy static type checking of torch type stubs against reveal and pass/fail test cases.</t>
  </si>
  <si>
    <t>No device usage; tests type stub correctness.</t>
  </si>
  <si>
    <t>Quantization — Non-legacy</t>
  </si>
  <si>
    <t>quantization/core/experimental/test_floatx.py</t>
  </si>
  <si>
    <t>device generic</t>
  </si>
  <si>
    <t>test_scaled_matmul_cuda.py</t>
  </si>
  <si>
    <t>Tests FP8 scaled matmul (torch.nn.functional.scaled_mm) and grouped_mm operations on CUDA/XPU devices.</t>
  </si>
  <si>
    <t>instantiate_device_type_tests with except_for="cpu"; has pervasive device="cuda" defaults, TEST_CUDA guard (entire file skipped without CUDA), torch.cuda.get_device_capability/properties calls, @onlyCUDA test</t>
  </si>
  <si>
    <t>https://github.com/pytorch/pytorch/pull/184771</t>
  </si>
  <si>
    <t>Miscellaneous — Hub, TensorBoard, interop, and other uncategorized tests</t>
  </si>
  <si>
    <t>Miscellaneous › Misc</t>
  </si>
  <si>
    <t>test_dlpack.py</t>
  </si>
  <si>
    <t>Tests DLPack tensor interop (import/export) across dtypes, strides, and devices.</t>
  </si>
  <si>
    <t>Uses instantiate_device_type_tests; has 15 @onlyCUDA tests (stream tests, cross-device, copy), 1 @skipCUDAIfNotRocm, extensive torch.cuda.Stream/torch.cuda._sleep API calls</t>
  </si>
  <si>
    <t>test_hop_infra.py</t>
  </si>
  <si>
    <t>Tests that all higher-order operators have OpInfo entries and are properly imported.</t>
  </si>
  <si>
    <t>No device usage; tests HOP registration infrastructure.</t>
  </si>
  <si>
    <t>Compiler related</t>
  </si>
  <si>
    <t>test_hub.py</t>
  </si>
  <si>
    <t>Tests torch.hub functionality for downloading models, caching, and trust management.</t>
  </si>
  <si>
    <t>No device usage; tests hub download/cache mechanics.</t>
  </si>
  <si>
    <t>test_legacy_vmap.py</t>
  </si>
  <si>
    <t>Tests the legacy vmap API for error handling, input validation, and basic batched operations.</t>
  </si>
  <si>
    <t>Tests legacy vmap batched execution of unary/binary pointwise and view operators.</t>
  </si>
  <si>
    <t>Most tests CPU; some conditionally test CUDA if available (commented out).</t>
  </si>
  <si>
    <t>Tests legacy vmap batched gradient computation for various differentiable operations.</t>
  </si>
  <si>
    <t>test_numba_integration.py</t>
  </si>
  <si>
    <t>Tests CUDA array interface and Numba CUDA interop with PyTorch tensors.</t>
  </si>
  <si>
    <t>All tests require CUDA; hardcodes cuda tensors and Numba CUDA.</t>
  </si>
  <si>
    <t>Move to test/cuda/ folder</t>
  </si>
  <si>
    <t>test_numpy_interop.py</t>
  </si>
  <si>
    <t>Tests NumPy-PyTorch interop including array conversion, shared memory, and dtype handling.</t>
  </si>
  <si>
    <t>test_pruning_op.py</t>
  </si>
  <si>
    <t>Tests the torch._rowwise_prune operation for embedding table row pruning.</t>
  </si>
  <si>
    <t>test_tensorboard.py</t>
  </si>
  <si>
    <t>Base class for TensorBoard tests that manages temp directories and skips if TensorBoard is not installed.</t>
  </si>
  <si>
    <t>No device usage; provides test scaffolding.</t>
  </si>
  <si>
    <t>Tests make_np conversion of PyTorch tensors (including CUDA) and autograd Variables to NumPy arrays.</t>
  </si>
  <si>
    <t>Most tests CPU; conditionally tests .cuda() if CUDA available.</t>
  </si>
  <si>
    <t>Tests TensorBoard utility functions for figure conversion and data formatting.</t>
  </si>
  <si>
    <t>No device usage; tests utility functions.</t>
  </si>
  <si>
    <t>Tests the SummaryWriter API for logging scalars, histograms, images, and other data.</t>
  </si>
  <si>
    <t>No device usage; tests file-based logging.</t>
  </si>
  <si>
    <t>Tests SummaryWriter constructor options, flushing, and file management.</t>
  </si>
  <si>
    <t>No device usage; tests writer lifecycle.</t>
  </si>
  <si>
    <t>Tests TensorBoard embedding visualization with metadata and sprite images.</t>
  </si>
  <si>
    <t>No device usage; tests embedding projection files.</t>
  </si>
  <si>
    <t>Tests TensorBoard summary creation for scalars, histograms, images, audio, and text.</t>
  </si>
  <si>
    <t>No device usage; tests protobuf summary creation.</t>
  </si>
  <si>
    <t>Tests TensorBoard graph visualization of PyTorch model architectures.</t>
  </si>
  <si>
    <t>No device usage; tests graph protobuf generation.</t>
  </si>
  <si>
    <t>Tests converting matplotlib figures to TensorBoard image summaries.</t>
  </si>
  <si>
    <t>No device usage; tests matplotlib-to-image conversion.</t>
  </si>
  <si>
    <t>Tests TensorBoard make_np conversion of various numpy and scalar types.</t>
  </si>
  <si>
    <t>No device usage; tests numpy conversion utilities.</t>
  </si>
  <si>
    <t>Tests TensorBoard tensor proto summary creation and metadata handling.</t>
  </si>
  <si>
    <t>No device usage; tests protobuf tensor serialization.</t>
  </si>
  <si>
    <t>test_torchfuzz_repros.py</t>
  </si>
  <si>
    <t>Tests fuzzer-discovered eager-vs-compile divergence issues as regression tests (all xfail).</t>
  </si>
  <si>
    <t>All tests hardcode device="cuda" tensors.</t>
  </si>
  <si>
    <t>Analyzed test/test_torchfuzz_repros.py, no refactoring needed. 
All 6 tests are @pytest.mark.xfail reproducing known CUDA-inductor compilation bugs. They are CUDA-specific by nature. Making them device-agnostic would cause false xpass on other backends since these bugs don't exist there. The tests are meant to be deleted once the underlying bugs are fixed.</t>
  </si>
  <si>
    <t>JIT / TorchScript — TorchScript compiler, JIT fusers, and related tooling</t>
  </si>
  <si>
    <t>JIT / TorchScript › JIT Core</t>
  </si>
  <si>
    <t>test_jit.py</t>
  </si>
  <si>
    <t>EXCLUDED</t>
  </si>
  <si>
    <t>test_jit_autocast.py</t>
  </si>
  <si>
    <t>test_jit_disabled.py</t>
  </si>
  <si>
    <t>test_jit_string.py</t>
  </si>
  <si>
    <t>JIT / TorchScript › JIT Fusers</t>
  </si>
  <si>
    <t>test_jit_fuser.py</t>
  </si>
  <si>
    <t>test_jit_fuser_te.py</t>
  </si>
  <si>
    <t>test_jit_llga_fuser.py</t>
  </si>
  <si>
    <t>JIT / TorchScript › JIT Subdirectory</t>
  </si>
  <si>
    <t>jit/fixtures_srcs/test_upgrader_models_generation.py</t>
  </si>
  <si>
    <t>jit/test_alias_analysis.py</t>
  </si>
  <si>
    <t>jit/test_async.py</t>
  </si>
  <si>
    <t>jit/test_aten_pow.py</t>
  </si>
  <si>
    <t>jit/test_attr.py</t>
  </si>
  <si>
    <t>jit/test_autodiff.py</t>
  </si>
  <si>
    <t>jit/test_autodiff_subgraph_slicing.py</t>
  </si>
  <si>
    <t>jit/test_await.py</t>
  </si>
  <si>
    <t>jit/test_backend_nnapi.py</t>
  </si>
  <si>
    <t>jit/test_backends.py</t>
  </si>
  <si>
    <t>jit/test_batch_mm.py</t>
  </si>
  <si>
    <t>jit/test_builtins.py</t>
  </si>
  <si>
    <t>jit/test_class_type.py</t>
  </si>
  <si>
    <t>jit/test_complex.py</t>
  </si>
  <si>
    <t>jit/test_complexity.py</t>
  </si>
  <si>
    <t>jit/test_concrete_module_type.py</t>
  </si>
  <si>
    <t>jit/test_convert_activation.py</t>
  </si>
  <si>
    <t>jit/test_cuda.py</t>
  </si>
  <si>
    <t>jit/test_custom_operators.py</t>
  </si>
  <si>
    <t>jit/test_data_parallel.py</t>
  </si>
  <si>
    <t>jit/test_dataclasses.py</t>
  </si>
  <si>
    <t>jit/test_dce.py</t>
  </si>
  <si>
    <t>jit/test_decorator.py</t>
  </si>
  <si>
    <t>jit/test_device_analysis.py</t>
  </si>
  <si>
    <t>jit/test_dtype_analysis.py</t>
  </si>
  <si>
    <t>jit/test_enum.py</t>
  </si>
  <si>
    <t>jit/test_exception.py</t>
  </si>
  <si>
    <t>jit/test_freezing.py</t>
  </si>
  <si>
    <t>jit/test_functional_blocks.py</t>
  </si>
  <si>
    <t>jit/test_fuser_common.py</t>
  </si>
  <si>
    <t>jit/test_generator.py</t>
  </si>
  <si>
    <t>jit/test_graph_rewrite_passes.py</t>
  </si>
  <si>
    <t>jit/test_hash.py</t>
  </si>
  <si>
    <t>jit/test_hooks.py</t>
  </si>
  <si>
    <t>jit/test_ignorable_args.py</t>
  </si>
  <si>
    <t>jit/test_ignore_context_manager.py</t>
  </si>
  <si>
    <t>jit/test_isinstance.py</t>
  </si>
  <si>
    <t>jit/test_jit_utils.py</t>
  </si>
  <si>
    <t>jit/test_list_dict.py</t>
  </si>
  <si>
    <t>jit/test_logging.py</t>
  </si>
  <si>
    <t>jit/test_misc.py</t>
  </si>
  <si>
    <t>jit/test_models.py</t>
  </si>
  <si>
    <t>jit/test_module_apis.py</t>
  </si>
  <si>
    <t>jit/test_module_containers.py</t>
  </si>
  <si>
    <t>jit/test_module_interface.py</t>
  </si>
  <si>
    <t>jit/test_modules.py</t>
  </si>
  <si>
    <t>jit/test_op_decompositions.py</t>
  </si>
  <si>
    <t>jit/test_optimize_for_mobile_preserve_debug_info.py</t>
  </si>
  <si>
    <t>jit/test_parametrization.py</t>
  </si>
  <si>
    <t>jit/test_pdt.py</t>
  </si>
  <si>
    <t>jit/test_peephole.py</t>
  </si>
  <si>
    <t>jit/test_profiler.py</t>
  </si>
  <si>
    <t>jit/test_python_bindings.py</t>
  </si>
  <si>
    <t>jit/test_python_builtins.py</t>
  </si>
  <si>
    <t>jit/test_python_ir.py</t>
  </si>
  <si>
    <t>jit/test_recursive_script.py</t>
  </si>
  <si>
    <t>jit/test_remove_mutation.py</t>
  </si>
  <si>
    <t>jit/test_save_load.py</t>
  </si>
  <si>
    <t>jit/test_save_load_for_op_version.py</t>
  </si>
  <si>
    <t>jit/test_script_profile.py</t>
  </si>
  <si>
    <t>jit/test_scriptmod_ann.py</t>
  </si>
  <si>
    <t>jit/test_slice.py</t>
  </si>
  <si>
    <t>jit/test_string_formatting.py</t>
  </si>
  <si>
    <t>jit/test_symbolic_shape_analysis.py</t>
  </si>
  <si>
    <t>jit/test_tensor_creation_ops.py</t>
  </si>
  <si>
    <t>jit/test_tensor_methods.py</t>
  </si>
  <si>
    <t>jit/test_torchbind.py</t>
  </si>
  <si>
    <t>jit/test_tracer.py</t>
  </si>
  <si>
    <t>jit/test_type_sharing.py</t>
  </si>
  <si>
    <t>jit/test_types.py</t>
  </si>
  <si>
    <t>jit/test_typing.py</t>
  </si>
  <si>
    <t>jit/test_union.py</t>
  </si>
  <si>
    <t>jit/test_union_pep604.py</t>
  </si>
  <si>
    <t>jit/test_unsupported_ops.py</t>
  </si>
  <si>
    <t>jit/test_upgraders.py</t>
  </si>
  <si>
    <t>jit/test_warn.py</t>
  </si>
  <si>
    <t>jit/test_with.py</t>
  </si>
  <si>
    <t>jit/xnnpack/test_xnnpack_delegate.py</t>
  </si>
  <si>
    <t>Quantization (Legacy) — Eager, FX, and JIT quantization</t>
  </si>
  <si>
    <t>Quantization › Quantization</t>
  </si>
  <si>
    <t>quantization/ao_migration/common.py</t>
  </si>
  <si>
    <t>quantization/ao_migration/test_ao_migration.py</t>
  </si>
  <si>
    <t>quantization/ao_migration/test_quantization.py</t>
  </si>
  <si>
    <t>quantization/ao_migration/test_quantization_fx.py</t>
  </si>
  <si>
    <t>quantization/bc/test_backward_compatibility.py</t>
  </si>
  <si>
    <t>quantization/core/experimental/test_adaround_eager.py</t>
  </si>
  <si>
    <t>quantization/core/experimental/test_bits.py</t>
  </si>
  <si>
    <t>quantization/core/experimental/test_fake_quantize.py</t>
  </si>
  <si>
    <t>quantization/core/experimental/test_linear.py</t>
  </si>
  <si>
    <t>quantization/core/experimental/test_nonuniform_observer.py</t>
  </si>
  <si>
    <t>quantization/core/experimental/test_quantized_tensor.py</t>
  </si>
  <si>
    <t>quantization/core/experimental/test_quantizer.py</t>
  </si>
  <si>
    <t>quantization/core/test_backend_config.py</t>
  </si>
  <si>
    <t>quantization/core/test_quantized_functional.py</t>
  </si>
  <si>
    <t>quantization/core/test_quantized_module.py</t>
  </si>
  <si>
    <t>quantization/core/test_quantized_op.py</t>
  </si>
  <si>
    <t>quantization/core/test_quantized_tensor.py</t>
  </si>
  <si>
    <t>quantization/core/test_top_level_apis.py</t>
  </si>
  <si>
    <t>quantization/core/test_utils.py</t>
  </si>
  <si>
    <t>quantization/core/test_workflow_module.py</t>
  </si>
  <si>
    <t>quantization/core/test_workflow_ops.py</t>
  </si>
  <si>
    <t>quantization/eager/test_bias_correction_eager.py</t>
  </si>
  <si>
    <t>quantization/eager/test_equalize_eager.py</t>
  </si>
  <si>
    <t>quantization/eager/test_fuse_eager.py</t>
  </si>
  <si>
    <t>quantization/eager/test_model_numerics.py</t>
  </si>
  <si>
    <t>quantization/eager/test_numeric_suite_eager.py</t>
  </si>
  <si>
    <t>quantization/eager/test_quantize_eager_ptq.py</t>
  </si>
  <si>
    <t>quantization/eager/test_quantize_eager_qat.py</t>
  </si>
  <si>
    <t>quantization/jit/test_deprecated_jit_quant.py</t>
  </si>
  <si>
    <t>quantization/jit/test_fusion_passes.py</t>
  </si>
  <si>
    <t>quantization/jit/test_ondevice_quantization.py</t>
  </si>
  <si>
    <t>quantization/jit/test_quantize_jit.py</t>
  </si>
  <si>
    <t>torch._numpy Compatibility — NumPy compatibility layer tests</t>
  </si>
  <si>
    <t>torch._numpy Compatibility › torch_np</t>
  </si>
  <si>
    <t>torch_np/numpy_tests/core/test_dlpack.py</t>
  </si>
  <si>
    <t>torch_np/numpy_tests/core/test_dtype.py</t>
  </si>
  <si>
    <t>torch_np/numpy_tests/core/test_einsum.py</t>
  </si>
  <si>
    <t>torch_np/numpy_tests/core/test_getlimits.py</t>
  </si>
  <si>
    <t>torch_np/numpy_tests/core/test_indexing.py</t>
  </si>
  <si>
    <t>torch_np/numpy_tests/core/test_multiarray.py</t>
  </si>
  <si>
    <t>torch_np/numpy_tests/core/test_numeric.py</t>
  </si>
  <si>
    <t>torch_np/numpy_tests/core/test_numerictypes.py</t>
  </si>
  <si>
    <t>torch_np/numpy_tests/core/test_scalar_ctors.py</t>
  </si>
  <si>
    <t>torch_np/numpy_tests/core/test_scalar_methods.py</t>
  </si>
  <si>
    <t>torch_np/numpy_tests/core/test_scalarinherit.py</t>
  </si>
  <si>
    <t>torch_np/numpy_tests/core/test_scalarmath.py</t>
  </si>
  <si>
    <t>torch_np/numpy_tests/core/test_shape_base.py</t>
  </si>
  <si>
    <t>torch_np/numpy_tests/fft/test_helper.py</t>
  </si>
  <si>
    <t>torch_np/numpy_tests/fft/test_pocketfft.py</t>
  </si>
  <si>
    <t>torch_np/numpy_tests/lib/test_arraypad.py</t>
  </si>
  <si>
    <t>torch_np/numpy_tests/lib/test_arraysetops.py</t>
  </si>
  <si>
    <t>torch_np/numpy_tests/lib/test_function_base.py</t>
  </si>
  <si>
    <t>torch_np/numpy_tests/lib/test_histograms.py</t>
  </si>
  <si>
    <t>torch_np/numpy_tests/lib/test_index_tricks.py</t>
  </si>
  <si>
    <t>torch_np/numpy_tests/lib/test_shape_base_.py</t>
  </si>
  <si>
    <t>torch_np/numpy_tests/lib/test_twodim_base.py</t>
  </si>
  <si>
    <t>torch_np/numpy_tests/lib/test_type_check.py</t>
  </si>
  <si>
    <t>torch_np/numpy_tests/linalg/test_linalg.py</t>
  </si>
  <si>
    <t>torch_np/test_basic.py</t>
  </si>
  <si>
    <t>torch_np/test_binary_ufuncs.py</t>
  </si>
  <si>
    <t>torch_np/test_dtype.py</t>
  </si>
  <si>
    <t>torch_np/test_function_base.py</t>
  </si>
  <si>
    <t>torch_np/test_indexing.py</t>
  </si>
  <si>
    <t>torch_np/test_ndarray_methods.py</t>
  </si>
  <si>
    <t>torch_np/test_nep50_examples.py</t>
  </si>
  <si>
    <t>torch_np/test_random.py</t>
  </si>
  <si>
    <t>torch_np/test_reductions.py</t>
  </si>
  <si>
    <t>torch_np/test_scalars_0D_arrays.py</t>
  </si>
  <si>
    <t>torch_np/test_ufuncs_basic.py</t>
  </si>
  <si>
    <t>torch_np/test_unary_ufuncs.py</t>
  </si>
  <si>
    <t>ONNX — ONNX export and runtime tests</t>
  </si>
  <si>
    <t>ONNX › ONNX</t>
  </si>
  <si>
    <t>onnx/exporter/test_api.py</t>
  </si>
  <si>
    <t>onnx/exporter/test_building.py</t>
  </si>
  <si>
    <t>onnx/exporter/test_capture_strategies.py</t>
  </si>
  <si>
    <t>onnx/exporter/test_core.py</t>
  </si>
  <si>
    <t>onnx/exporter/test_dynamic_shapes.py</t>
  </si>
  <si>
    <t>onnx/exporter/test_exportable_module.py</t>
  </si>
  <si>
    <t>onnx/exporter/test_hf_models_e2e.py</t>
  </si>
  <si>
    <t>onnx/exporter/test_input_observer.py</t>
  </si>
  <si>
    <t>onnx/exporter/test_ir_passes.py</t>
  </si>
  <si>
    <t>onnx/exporter/test_small_models_e2e.py</t>
  </si>
  <si>
    <t>onnx/exporter/test_tensors.py</t>
  </si>
  <si>
    <t>onnx/exporter/test_verification.py</t>
  </si>
  <si>
    <t>onnx/internal/test_registration.py</t>
  </si>
  <si>
    <t>onnx/onnx_test_common.py</t>
  </si>
  <si>
    <t>onnx/ops/test_ops.py</t>
  </si>
  <si>
    <t>onnx/pytorch_test_common.py</t>
  </si>
  <si>
    <t>onnx/test_autograd_funs.py</t>
  </si>
  <si>
    <t>onnx/test_custom_ops.py</t>
  </si>
  <si>
    <t>onnx/test_fx_type_promotion.py</t>
  </si>
  <si>
    <t>onnx/test_lazy_import.py</t>
  </si>
  <si>
    <t>onnx/test_models.py</t>
  </si>
  <si>
    <t>onnx/test_models_onnxruntime.py</t>
  </si>
  <si>
    <t>onnx/test_models_quantized_onnxruntime.py</t>
  </si>
  <si>
    <t>onnx/test_onnx_opset.py</t>
  </si>
  <si>
    <t>onnx/test_onnxscript_no_runtime.py</t>
  </si>
  <si>
    <t>onnx/test_onnxscript_runtime.py</t>
  </si>
  <si>
    <t>onnx/test_op_consistency.py</t>
  </si>
  <si>
    <t>onnx/test_pytorch_onnx_onnxruntime.py</t>
  </si>
  <si>
    <t>onnx/test_pytorch_onnx_onnxruntime_cuda.py</t>
  </si>
  <si>
    <t>onnx/test_pytorch_onnx_shape_inference.py</t>
  </si>
  <si>
    <t>onnx/test_symbolic_helper.py</t>
  </si>
  <si>
    <t>onnx/test_utility_funs.py</t>
  </si>
  <si>
    <t>onnx/torchlib/test_ops.py</t>
  </si>
  <si>
    <t>Specialized Tensor Types — Sparse, nested, named, and masked tensor tests</t>
  </si>
  <si>
    <t>Specialized Tensor Types › Sparse</t>
  </si>
  <si>
    <t>test_sparse.py</t>
  </si>
  <si>
    <t>test_sparse_csr.py</t>
  </si>
  <si>
    <t>test_sparse_semi_structured.py</t>
  </si>
  <si>
    <t>jit/test_sparse.py</t>
  </si>
  <si>
    <t>Specialized Tensor Types › Nested Tensor</t>
  </si>
  <si>
    <t>test_nestedtensor.py</t>
  </si>
  <si>
    <t>Specialized Tensor Types › Named Tensor</t>
  </si>
  <si>
    <t>test_namedtensor.py</t>
  </si>
  <si>
    <t>Specialized Tensor Types › Masked Tensor</t>
  </si>
  <si>
    <t>test_maskedtensor.py</t>
  </si>
  <si>
    <t>Lazy Tensors — LazyTensor framework for deferred execution</t>
  </si>
  <si>
    <t>Lazy Tensors › Lazy</t>
  </si>
  <si>
    <t>lazy/test_debug_util.py</t>
  </si>
  <si>
    <t>lazy/test_extract_compiled_graph.py</t>
  </si>
  <si>
    <t>lazy/test_functionalization.py</t>
  </si>
  <si>
    <t>lazy/test_generator.py</t>
  </si>
  <si>
    <t>lazy/test_meta_kernel.py</t>
  </si>
  <si>
    <t>lazy/test_reuse_ir.py</t>
  </si>
  <si>
    <t>lazy/test_step_closures.py</t>
  </si>
  <si>
    <t>lazy/test_ts_opinfo.py</t>
  </si>
  <si>
    <t>Mobile &amp; Inference — Mobile optimization, Vulkan, XNNPACK, NNAPI, and inference backends</t>
  </si>
  <si>
    <t>Mobile &amp; Inference › Mobile</t>
  </si>
  <si>
    <t>mobile/test_lite_script_module.py</t>
  </si>
  <si>
    <t>mobile/test_lite_script_type.py</t>
  </si>
  <si>
    <t>mobile/test_quantize_fx_lite_script_module.py</t>
  </si>
  <si>
    <t>mobile/test_upgrader_codegen.py</t>
  </si>
  <si>
    <t>mobile/test_upgraders.py</t>
  </si>
  <si>
    <t>test_bundled_images.py</t>
  </si>
  <si>
    <t>test_bundled_inputs.py</t>
  </si>
  <si>
    <t>test_mobile_optimizer.py</t>
  </si>
  <si>
    <t>test_nnapi.py</t>
  </si>
  <si>
    <t>test_set_default_mobile_cpu_allocator.py</t>
  </si>
  <si>
    <t>test_static_runtime.py</t>
  </si>
  <si>
    <t>test_vulkan.py</t>
  </si>
  <si>
    <t>test_xnnpack_integration.py</t>
  </si>
  <si>
    <t>torch.package — Model packaging and deployment</t>
  </si>
  <si>
    <t>torch.package › Package</t>
  </si>
  <si>
    <t>package/common.py</t>
  </si>
  <si>
    <t>package/test_analyze.py</t>
  </si>
  <si>
    <t>package/test_dependency_api.py</t>
  </si>
  <si>
    <t>package/test_dependency_hooks.py</t>
  </si>
  <si>
    <t>package/test_digraph.py</t>
  </si>
  <si>
    <t>package/test_directory_reader.py</t>
  </si>
  <si>
    <t>package/test_glob_group.py</t>
  </si>
  <si>
    <t>package/test_importer.py</t>
  </si>
  <si>
    <t>package/test_load_bc_packages.py</t>
  </si>
  <si>
    <t>package/test_mangling.py</t>
  </si>
  <si>
    <t>package/test_misc.py</t>
  </si>
  <si>
    <t>package/test_model.py</t>
  </si>
  <si>
    <t>package/test_package_fx.py</t>
  </si>
  <si>
    <t>package/test_package_script.py</t>
  </si>
  <si>
    <t>package/test_repackage.py</t>
  </si>
  <si>
    <t>package/test_resources.py</t>
  </si>
  <si>
    <t>package/test_save_load.py</t>
  </si>
  <si>
    <t>Distributions — torch.distributions probability distributions</t>
  </si>
  <si>
    <t>Distributions › Distributions</t>
  </si>
  <si>
    <t>distributions/test_distributions.py</t>
  </si>
  <si>
    <t>AO Sparsity — Architecture optimization and sparsity</t>
  </si>
  <si>
    <t>AO Sparsity › Sparsity</t>
  </si>
  <si>
    <t>ao/sparsity/test_activation_sparsifier.py</t>
  </si>
  <si>
    <t>ao/sparsity/test_composability.py</t>
  </si>
  <si>
    <t>ao/sparsity/test_data_scheduler.py</t>
  </si>
  <si>
    <t>ao/sparsity/test_data_sparsifier.py</t>
  </si>
  <si>
    <t>ao/sparsity/test_kernels.py</t>
  </si>
  <si>
    <t>ao/sparsity/test_parametrization.py</t>
  </si>
  <si>
    <t>ao/sparsity/test_qlinear_packed_params.py</t>
  </si>
  <si>
    <t>ao/sparsity/test_scheduler.py</t>
  </si>
  <si>
    <t>ao/sparsity/test_sparsifier.py</t>
  </si>
  <si>
    <t>ao/sparsity/test_sparsity_utils.py</t>
  </si>
  <si>
    <t>ao/sparsity/test_structured_sparsifier.py</t>
  </si>
  <si>
    <t>TensorExpr / NNC — Neural Net Compiler and TensorExpr backend</t>
  </si>
  <si>
    <t>TensorExpr / NNC › TensorExpr</t>
  </si>
  <si>
    <t>test_tensorexpr.py</t>
  </si>
  <si>
    <t>test_tensorexpr_pybind.py</t>
  </si>
  <si>
    <t>MPS (Apple) — Metal Performance Shaders backend</t>
  </si>
  <si>
    <t>MPS (Apple) › MPS</t>
  </si>
  <si>
    <t>test_metal.py</t>
  </si>
  <si>
    <t>test_mps.py</t>
  </si>
  <si>
    <t>Intel XPU / MKLDNN — Intel XPU device, oneDNN integration, and MKL</t>
  </si>
  <si>
    <t>Intel XPU / MKLDNN › XPU</t>
  </si>
  <si>
    <t>test_xpu.py</t>
  </si>
  <si>
    <t>xpu/test_conv.py</t>
  </si>
  <si>
    <t>xpu/test_fusion.py</t>
  </si>
  <si>
    <t>xpu/test_gemm.py</t>
  </si>
  <si>
    <t>Intel XPU / MKLDNN › MKLDNN / MKL</t>
  </si>
  <si>
    <t>test_mkl_verbose.py</t>
  </si>
  <si>
    <t>test_mkldnn.py</t>
  </si>
  <si>
    <t>test_mkldnn_fusion.py</t>
  </si>
  <si>
    <t>test_mkldnn_verbose.py</t>
  </si>
  <si>
    <t>Intel XPU / MKLDNN › ITT</t>
  </si>
  <si>
    <t>test_itt.py</t>
  </si>
  <si>
    <t>GitHub Link</t>
  </si>
  <si>
    <t>Class</t>
  </si>
  <si>
    <t>Device Approach</t>
  </si>
  <si>
    <t>Needs refactor?</t>
  </si>
  <si>
    <t>Comment</t>
  </si>
  <si>
    <t>Notes</t>
  </si>
  <si>
    <t>Profiler</t>
  </si>
  <si>
    <t>https://github.com/pytorch/pytorch/blob/main/test/profiler/test_profiler.py#L108</t>
  </si>
  <si>
    <t>TestProfilerCUDA</t>
  </si>
  <si>
    <t>Hardcoded CUDA</t>
  </si>
  <si>
    <t>Yes</t>
  </si>
  <si>
    <t>Riya Punia - Red Hat</t>
  </si>
  <si>
    <t>https://github.com/pytorch/pytorch/pull/182432</t>
  </si>
  <si>
    <t>Class-level @skipIf(not torch.cuda.is_available()). All 3 tests use .cuda() directly (test_mem_leak, test_custom_module_input_op_ids, test_cudagraph_profiling_workaround).</t>
  </si>
  <si>
    <t>https://github.com/pytorch/pytorch/blob/main/test/profiler/test_profiler.py#L206</t>
  </si>
  <si>
    <t>TestProfilerITT</t>
  </si>
  <si>
    <t>CPU-only</t>
  </si>
  <si>
    <t>https://github.com/pytorch/pytorch/pull/18243</t>
  </si>
  <si>
    <t>Gated by ITT availability. Tensors are CPU-only. No device parameterization.</t>
  </si>
  <si>
    <t>https://github.com/pytorch/pytorch/blob/main/test/profiler/test_profiler.py#L234</t>
  </si>
  <si>
    <t>TestProfiler</t>
  </si>
  <si>
    <t>Mixed - mostly hardcoded CUDA</t>
  </si>
  <si>
    <t xml:space="preserve"> https://github.com/pytorch/pytorch/pull/182434</t>
  </si>
  <si>
    <t>~35 test methods. No instantiate_device_type_tests. payload() helper uses use_cuda boolean. ~15 tests hardcoded CUDA via @skipIf(not torch.cuda.is_available()). 2 tests use torch.accelerator.current_accelerator() (test_basic_profile, test_dynamic_toggle). A few use runtime if cuda/elif xpu branching (test_memory_profiler). ~20 tests are CPU-only.</t>
  </si>
  <si>
    <t>https://github.com/pytorch/pytorch/blob/main/test/profiler/test_profiler.py#L2701</t>
  </si>
  <si>
    <t>TestExperimentalUtils</t>
  </si>
  <si>
    <t>CPU-only (mock data)</t>
  </si>
  <si>
    <t>Uses mock profiler events with CUDA strings but no real device interaction. No hardware required.</t>
  </si>
  <si>
    <t>https://github.com/pytorch/pytorch/blob/main/test/profiler/test_execution_trace.py#L60</t>
  </si>
  <si>
    <t>TestExecutionTrace</t>
  </si>
  <si>
    <t>Device-generic (best example)</t>
  </si>
  <si>
    <t>https://github.com/pytorch/pytorch/pull/181511</t>
  </si>
  <si>
    <t>Uses instantiate_device_type_tests for CPU/CUDA/XPU/HPU. 8 tests accept device param. payload() uses x.to(device). 2 tests still hardcoded CUDA (test_execution_trace_record_integral_tensor_range, _data). Bug: use_device logic has operator precedence issue making it always truthy.</t>
  </si>
  <si>
    <t>https://github.com/pytorch/pytorch/blob/main/test/profiler/test_profiler_tree.py#L235</t>
  </si>
  <si>
    <t>TestProfilerTree</t>
  </si>
  <si>
    <t>some hardcoded CUDA</t>
  </si>
  <si>
    <t>Mansi Agarwal - Red Hat</t>
  </si>
  <si>
    <t>2 tests require CUDA (device='cuda'). Expected output strings contain cudaLaunchKernel. ALLOW_CUDA_FAILURE flag for ROCm but not XPU. ~8 CPU-only tests. No instantiate_device_type_tests.</t>
  </si>
  <si>
    <t>https://github.com/pytorch/pytorch/blob/main/test/profiler/test_cpp_thread.py#L75</t>
  </si>
  <si>
    <t>CppThreadTestCUDA</t>
  </si>
  <si>
    <t>https://github.com/pytorch/pytorch/pull/182677</t>
  </si>
  <si>
    <t>setUp checks torch.cuda.is_available(). 3 test methods with _cuda suffix. Uses global device variable and getattr(torch, device).synchronize() in shared handler - could have been generic.</t>
  </si>
  <si>
    <t>https://github.com/pytorch/pytorch/blob/main/test/profiler/test_cpp_thread.py#L218</t>
  </si>
  <si>
    <t>CppThreadTestXPU</t>
  </si>
  <si>
    <t>Hardcoded XPU (copy-paste of CUDA class)</t>
  </si>
  <si>
    <t>setUp checks torch.xpu.is_available(). 3 test methods with _xpu suffix - all @unittest.skip. Full duplication of CppThreadTestCUDA. Could have been a single device-agnostic class using cls/type(self) instead of hardcoded class names.</t>
  </si>
  <si>
    <t>https://github.com/pytorch/pytorch/blob/main/test/profiler/test_xpu_profiler.py#L15</t>
  </si>
  <si>
    <t>XpuProfilerTest</t>
  </si>
  <si>
    <t>Hardcoded XPU</t>
  </si>
  <si>
    <t>Kumar Tanmay - Red Hat</t>
  </si>
  <si>
    <r>
      <rPr>
        <rFont val="Arial"/>
      </rPr>
      <t xml:space="preserve">PR raised: </t>
    </r>
    <r>
      <rPr>
        <rFont val="Arial"/>
        <color rgb="FF1155CC"/>
        <u/>
      </rPr>
      <t>https://github.com/pytorch/pytorch/pull/181731</t>
    </r>
  </si>
  <si>
    <t>1 test. @skipIf(not TEST_XPU). Creates tensor with device='xpu'. Profiles with ProfilerActivity.XPU.</t>
  </si>
  <si>
    <t>https://github.com/pytorch/pytorch/blob/main/test/profiler/test_torch_tidy.py#L57</t>
  </si>
  <si>
    <t>TestTorchTidyProfiler</t>
  </si>
  <si>
    <t>No</t>
  </si>
  <si>
    <t xml:space="preserve">  No refactoring needed. Intentionally CPU-only - tests profiler metadata infrastructure, not device behavior. Expected inline assertions depend on deterministic CPU allocator patterns.</t>
  </si>
  <si>
    <t>~20 tests. No device awareness at all. All tensors on CPU. Likely intentional - tests profiler metadata tracking.</t>
  </si>
  <si>
    <t>https://github.com/pytorch/pytorch/blob/main/test/profiler/test_record_function.py#L36</t>
  </si>
  <si>
    <t>TestRecordFunction</t>
  </si>
  <si>
    <t xml:space="preserve">  No refactoring needed. Intentionally CPU-only</t>
  </si>
  <si>
    <t>~7 tests. ProfilerActivity.CPU only. No device awareness. Likely intentional.</t>
  </si>
  <si>
    <t>https://github.com/pytorch/pytorch/blob/main/test/profiler/test_python_tracer.py#L17</t>
  </si>
  <si>
    <t>TestPythonTracer</t>
  </si>
  <si>
    <t>https://github.com/pytorch/pytorch/pull/181353</t>
  </si>
  <si>
    <t>3 tests. Lists ProfilerActivity.CUDA in activity set but creates no device tensors. CPU-focused.</t>
  </si>
  <si>
    <t>https://github.com/pytorch/pytorch/blob/main/test/profiler/test_kineto.py#L11</t>
  </si>
  <si>
    <t>SimpleKinetoInitializationTest</t>
  </si>
  <si>
    <t>Minor CUDA reference</t>
  </si>
  <si>
    <t>PR raised: [https://github.com/pytorch/pytorch/pull/181482]</t>
  </si>
  <si>
    <t>1 test. Subprocess runs torch.cuda.is_available() and torch.cuda.init(). Tests Kineto initialization not device-specific profiler behavior.</t>
  </si>
  <si>
    <t>Memory Profiler</t>
  </si>
  <si>
    <t>https://github.com/pytorch/pytorch/blob/main/test/profiler/test_memory_profiler.py#L30</t>
  </si>
  <si>
    <t>TestMemoryProfiler</t>
  </si>
  <si>
    <t>https://github.com/pytorch/pytorch/pull/182705</t>
  </si>
  <si>
    <t>All tensors created on CPU. No device parameter. Tests profiler internals.</t>
  </si>
  <si>
    <t>https://github.com/pytorch/pytorch/blob/main/test/profiler/test_memory_profiler.py#L107</t>
  </si>
  <si>
    <t>TestIdentifyGradients</t>
  </si>
  <si>
    <t>All tensors created on CPU. No device parameter.</t>
  </si>
  <si>
    <t>https://github.com/pytorch/pytorch/blob/main/test/profiler/test_memory_profiler.py#L303</t>
  </si>
  <si>
    <t>TestDataFlow</t>
  </si>
  <si>
    <t>https://github.com/pytorch/pytorch/blob/main/test/profiler/test_memory_profiler.py#L830</t>
  </si>
  <si>
    <t>TestMemoryProfilerE2E</t>
  </si>
  <si>
    <t>All tensors created on CPU. No device parameter. ~15 test methods.</t>
  </si>
  <si>
    <t>https://github.com/pytorch/pytorch/blob/main/test/profiler/test_memory_profiler.py#L1556</t>
  </si>
  <si>
    <t>TestMemoryProfilerTimeline</t>
  </si>
  <si>
    <t>Device-generic (partial)</t>
  </si>
  <si>
    <t>Uses instantiate_device_type_tests with DEVICE_LIST_SUPPORT_PROFILING_TEST (cpu/cuda/xpu). Only 1 test method (test_memory_timeline_no_id) accepts device param. Skipped on XPU via @unittest.skipIf(torch.xpu.is_available()).</t>
  </si>
  <si>
    <t>Key:
1. no_device — No tensor computation. Pure Python logic: stores, metadata, logging, configs, CLI arg parsing (some of these might use cpu tensors)
2. cpu — Explicitly CPU-only. Gloo backend, DeviceMesh("cpu"), or CPU tensors.
3. hardcoded_cuda — Uses literal .cuda(), device="cuda", torch.cuda.* APIs.
4. accelerator — Uses accelerator-generic APIs: torch.accelerator.current_accelerator(), dist.get_default_backend_for_device().
5. hardcoded (device, backend) map — FSDP's if/elif chain: if TEST_CUDA → nccl / elif TEST_HPU → hccl / elif TEST_XPU → xccl / else → cpu/gloo.
6. device_generic(only_for=[...]) — Uses instantiate_device_type_tests to create per-device test class variants.
7. cpu+cuda (or cpu+accelerator) — Separate explicit code paths for both CPU and GPU.</t>
  </si>
  <si>
    <t>A</t>
  </si>
  <si>
    <t>C10d  —  Core distributed communication primitives, process groups, and backend implementations</t>
  </si>
  <si>
    <t>C10d  ›  Common — Core Distributed Primitives</t>
  </si>
  <si>
    <t>test_c10d_common.py</t>
  </si>
  <si>
    <t>Verifies that process group operations correctly timeout and raise appropriate errors when a peer is unresponsive.</t>
  </si>
  <si>
    <t>Abigail Fernandes- Amazon 
(ferabiga@amazon.com)</t>
  </si>
  <si>
    <t>Tests the algorithm that assigns gradient tensors to communication buckets for DDP.</t>
  </si>
  <si>
    <t>cpu</t>
  </si>
  <si>
    <t xml:space="preserve">Abigail Fernandes- Amazon 
</t>
  </si>
  <si>
    <t>Core communication tests validating basic collective operations (allreduce, broadcast, allgather, reduce_scatter).</t>
  </si>
  <si>
    <t>Tests the ability to extend process groups via Python subclasses.</t>
  </si>
  <si>
    <t>Verifies that process groups using the dispatch-based collective API work correctly.</t>
  </si>
  <si>
    <t>Tests individual reduce operations (SUM, PRODUCT, MIN, MAX, BAND, BOR, BXOR).</t>
  </si>
  <si>
    <t>Validates correct resolution of local rank within a distributed process group.</t>
  </si>
  <si>
    <t>Abstract base for timeout tests.</t>
  </si>
  <si>
    <t>Common DDP tests shared across backends.</t>
  </si>
  <si>
    <t>cpu+cuda — abstract base for backend-specific DDP tests</t>
  </si>
  <si>
    <t>Abstract base for communication tests.</t>
  </si>
  <si>
    <t>Abstract base for large communication tests.</t>
  </si>
  <si>
    <t>C10d  ›  Functional Native</t>
  </si>
  <si>
    <t>test_c10d_functional_native.py</t>
  </si>
  <si>
    <t>Tests the functional collective API on the NCCL backend.</t>
  </si>
  <si>
    <t>accelerator — @requires_accelerator_dist_backend + @skip_if_lt_x_gpu</t>
  </si>
  <si>
    <t>Verifies that waiting on collective futures works correctly across threads.</t>
  </si>
  <si>
    <t>Tests the Python Work object API returned by functional collectives.</t>
  </si>
  <si>
    <t>Tests torch.compile integration with functional collectives on CPU.</t>
  </si>
  <si>
    <t>cpu — backend='fake' device='cpu'</t>
  </si>
  <si>
    <t>Tests torch.compile integration with functional collectives on GPU.</t>
  </si>
  <si>
    <t>accelerator — backend='fake' + torch.accelerator.current_accelerator()</t>
  </si>
  <si>
    <t>C10d  ›  Gloo Backend</t>
  </si>
  <si>
    <t>test_c10d_gloo.py</t>
  </si>
  <si>
    <t>Tests the TCP-based rendezvous mechanism for Gloo.</t>
  </si>
  <si>
    <t>Tests environment-variable-based rendezvous for Gloo.</t>
  </si>
  <si>
    <t>Validates timeout behavior specific to the Gloo process group.</t>
  </si>
  <si>
    <t>Comprehensive test of all collective operations using the Gloo backend.</t>
  </si>
  <si>
    <t>cpu+cuda — CPU tests + _cuda variants with @skip_if_lt_x_gpu(2)</t>
  </si>
  <si>
    <t>Tests the DDP Reducer module with Gloo.</t>
  </si>
  <si>
    <t>Basic communication correctness tests specific to Gloo.</t>
  </si>
  <si>
    <t>cpu+cuda — CPU tests + CUDA tests with @skip_if_lt_x_gpu(2)</t>
  </si>
  <si>
    <t>Stress tests with large tensors on the Gloo backend.</t>
  </si>
  <si>
    <t>DDP tests on Gloo backend.</t>
  </si>
  <si>
    <t>Tests Gloo PG lazy initialization.</t>
  </si>
  <si>
    <t>Tests Gloo PG with flight recorder.</t>
  </si>
  <si>
    <t>cpu+cuda — @skip_if_lt_x_gpu(2)</t>
  </si>
  <si>
    <t>Tests Gloo PG with dispatched collectives.</t>
  </si>
  <si>
    <t>C10d  ›  NCCL Backend</t>
  </si>
  <si>
    <t>test_c10d_nccl.py</t>
  </si>
  <si>
    <t>Tests environment-variable-based rendezvous for NCCL.</t>
  </si>
  <si>
    <t>hardcoded_cuda — @requires_nccl + backend='nccl'</t>
  </si>
  <si>
    <t>Tests NCCL-specific timeout and watchdog behaviors.</t>
  </si>
  <si>
    <t>Verifies graceful error handling when NCCL is initialized without GPUs.</t>
  </si>
  <si>
    <t>cpu — only runs when NO GPUs available</t>
  </si>
  <si>
    <t>Tests various initialization configurations for NCCL process groups.</t>
  </si>
  <si>
    <t>hardcoded_cuda — @requires_nccl + @skip_if_lt_x_gpu</t>
  </si>
  <si>
    <t>Tests NCCL sub-group creation.</t>
  </si>
  <si>
    <t>Tests pre/post hooks on NCCL Work objects.</t>
  </si>
  <si>
    <t>hardcoded_cuda — @requires_nccl + .cuda(self.rank)</t>
  </si>
  <si>
    <t>Validates error recovery when NCCL operations fail.</t>
  </si>
  <si>
    <t>hardcoded_cuda — @requires_nccl + torch.rand().cuda()</t>
  </si>
  <si>
    <t>Tests user-managed buffer registration with NCCL.</t>
  </si>
  <si>
    <t>hardcoded_cuda — @requires_nccl + NCCL memory allocator</t>
  </si>
  <si>
    <t>Core NCCL collective correctness tests.</t>
  </si>
  <si>
    <t>hardcoded_cuda — device=f'cuda:{self.rank}'</t>
  </si>
  <si>
    <t>Stress tests with very large tensor sizes over NCCL.</t>
  </si>
  <si>
    <t>hardcoded_cuda — @requires_nccl + @skip_if_lt_x_gpu(4)</t>
  </si>
  <si>
    <t>Tests NCCL process group with world_size=1.</t>
  </si>
  <si>
    <t>Base class for NCCL flight recorder tests.</t>
  </si>
  <si>
    <t>hardcoded_cuda — backend='nccl' + torch.device('cuda')</t>
  </si>
  <si>
    <t>Tests the NCCL trace/flight recorder.</t>
  </si>
  <si>
    <t>hardcoded_cuda — @requires_nccl + @skip_if_lt_x_gpu(2)</t>
  </si>
  <si>
    <t>Tests automatic trace dumping on timeout.</t>
  </si>
  <si>
    <t>hardcoded_cuda — nccl PG on CUDA devices</t>
  </si>
  <si>
    <t>Tests dumping diagnostics when NCCL errors occur.</t>
  </si>
  <si>
    <t>Tests NCCL at larger scales.</t>
  </si>
  <si>
    <t>hardcoded_cuda — @skip_if_lt_x_gpu(8) + backend='nccl'</t>
  </si>
  <si>
    <t>DDP tests on NCCL backend.</t>
  </si>
  <si>
    <t>Tests NCCL PG with dispatched collectives.</t>
  </si>
  <si>
    <t>hardcoded_cuda — @requires_nccl</t>
  </si>
  <si>
    <t>test_c10d_ops_nccl.py</t>
  </si>
  <si>
    <t>Tests individual NCCL ops.</t>
  </si>
  <si>
    <t>C10d  ›  UCC Backend</t>
  </si>
  <si>
    <t>test_c10d_ucc.py</t>
  </si>
  <si>
    <t>Tests rendezvous for the UCC backend.</t>
  </si>
  <si>
    <t>Tests timeout behavior for UCC.</t>
  </si>
  <si>
    <t>Tests collective operations using UCC.</t>
  </si>
  <si>
    <t>Basic communication tests for UCC.</t>
  </si>
  <si>
    <t>hardcoded_cuda — @skip_if_lt_x_gpu(2)</t>
  </si>
  <si>
    <t>DDP tests on UCC backend.</t>
  </si>
  <si>
    <t>Tests UCC PG with dispatched collectives.</t>
  </si>
  <si>
    <t>C10d  ›  Object Collectives &amp; Python PG</t>
  </si>
  <si>
    <t>test_c10d_object_collectives.py</t>
  </si>
  <si>
    <t>Tests collective operations on picklable Python objects.</t>
  </si>
  <si>
    <t>cpu+cuda — runs on accelerator if available else CPU</t>
  </si>
  <si>
    <t>test_c10d_pypg.py</t>
  </si>
  <si>
    <t>Tests DDP with custom Work subclass implementations.</t>
  </si>
  <si>
    <t>Tests wrapping Work objects with additional logic.</t>
  </si>
  <si>
    <t>Tests pure-Python process group implementations.</t>
  </si>
  <si>
    <t>cpu+cuda — mostly CPU; some tests @skipIf(not TEST_CUDA)</t>
  </si>
  <si>
    <t>test_processgroup_jit.py</t>
  </si>
  <si>
    <t>Tests process group capsule for JIT.</t>
  </si>
  <si>
    <t>C10d  ›  Spawn</t>
  </si>
  <si>
    <t>test_c10d_spawn.py</t>
  </si>
  <si>
    <t>Tests torch.distributed.nn functions in spawned multi-process environment.</t>
  </si>
  <si>
    <t>hardcoded_cuda — tensors on f'cuda:{self.rank}'</t>
  </si>
  <si>
    <t>test_c10d_spawn_gloo.py</t>
  </si>
  <si>
    <t>Tests DDP in single-process Gloo setting.</t>
  </si>
  <si>
    <t>cpu+cuda — test_cpu on CPU; test_cuda with @skip_if TEST_CUDA</t>
  </si>
  <si>
    <t>Abstract base for shared tensor PG tests.</t>
  </si>
  <si>
    <t>C10d  ›  Logger</t>
  </si>
  <si>
    <t>test_c10d_logger.py</t>
  </si>
  <si>
    <t>Tests distributed error logging infrastructure.</t>
  </si>
  <si>
    <t>accelerator — get_devtype() + with_comms</t>
  </si>
  <si>
    <t>C10d  ›  Store</t>
  </si>
  <si>
    <t>test_store.py</t>
  </si>
  <si>
    <t>Tests the file-based key-value store.</t>
  </si>
  <si>
    <t>Tests the in-memory hash-based store.</t>
  </si>
  <si>
    <t>Tests prefix-scoped stores.</t>
  </si>
  <si>
    <t>Tests prefix-scoped file stores.</t>
  </si>
  <si>
    <t>Tests the TCP-based distributed store.</t>
  </si>
  <si>
    <t>Tests prefix-scoped TCP stores.</t>
  </si>
  <si>
    <t>Tests the pure-Python store implementation.</t>
  </si>
  <si>
    <t>Tests the base rendezvous mechanism.</t>
  </si>
  <si>
    <t>Tests env-variable-based rendezvous.</t>
  </si>
  <si>
    <t>Tests file-based rendezvous.</t>
  </si>
  <si>
    <t>Tests TCP-based rendezvous.</t>
  </si>
  <si>
    <t>Additional tests for Python store.</t>
  </si>
  <si>
    <t>Tests concurrent wait operations on the store.</t>
  </si>
  <si>
    <t>Tests store timeout behavior.</t>
  </si>
  <si>
    <t>Tests the TCP store client-server protocol.</t>
  </si>
  <si>
    <t>Base class for store tests.</t>
  </si>
  <si>
    <t>Tests libuv-based TCP store.</t>
  </si>
  <si>
    <t>Tests process group init with non-libuv store.</t>
  </si>
  <si>
    <t>C10d  ›  Functional API</t>
  </si>
  <si>
    <t>test_functional_api.py</t>
  </si>
  <si>
    <t>Tests expanding tensors in functional collective contexts.</t>
  </si>
  <si>
    <t>Tests process group tagging.</t>
  </si>
  <si>
    <t>Tests that functional collectives are traceable.</t>
  </si>
  <si>
    <t>cpu+cuda — parametrized over ['cpu'] + accelerator if available</t>
  </si>
  <si>
    <t>Tests functional collectives with meta tensors.</t>
  </si>
  <si>
    <t>no_device — device='meta' only</t>
  </si>
  <si>
    <t>Tests gradient computation through functional collectives.</t>
  </si>
  <si>
    <t>Tests make_fx tracing of functional collectives.</t>
  </si>
  <si>
    <t>cpu — backend='fake' + DeviceMesh('cpu')</t>
  </si>
  <si>
    <t>Tests functional collectives with real backends.</t>
  </si>
  <si>
    <t>device_generic(only_for=[DEVICE]) — instantiate_device_type_tests via DistributedTestBase</t>
  </si>
  <si>
    <t>Tests autograd for the functional collective API.</t>
  </si>
  <si>
    <t>Tests autograd with real backends.</t>
  </si>
  <si>
    <t>test_functional_differentials.py</t>
  </si>
  <si>
    <t>Tests gradient correctness through collectives.</t>
  </si>
  <si>
    <t>cpu+cuda — parametrized over ['cpu'] + accelerator</t>
  </si>
  <si>
    <t>Tests gradient correctness with torch.compile.</t>
  </si>
  <si>
    <t>device_generic(only_for=[DEVICE]) — instantiate_device_type_tests</t>
  </si>
  <si>
    <t>Tests functional collectives with world_size=4.</t>
  </si>
  <si>
    <t>C10d  ›  Control &amp; Collective Utilities</t>
  </si>
  <si>
    <t>test_control_collectives.py</t>
  </si>
  <si>
    <t>Tests control-plane collectives for coordination.</t>
  </si>
  <si>
    <t>test_collective_utils.py</t>
  </si>
  <si>
    <t>Tests helper functions for collectives.</t>
  </si>
  <si>
    <t>cpu+cuda — gloo PG; test_check_rng_sync parametrized ['cpu','cuda']</t>
  </si>
  <si>
    <t>Tests general distributed utility functions.</t>
  </si>
  <si>
    <t>test_backends.py</t>
  </si>
  <si>
    <t>Tests misc helpers for collective operations.</t>
  </si>
  <si>
    <t>device_generic(only_for=['cpu','cuda','hpu']) — instantiate_device_type_tests</t>
  </si>
  <si>
    <t>C10d  ›  Multi-Threaded &amp; Fake PG</t>
  </si>
  <si>
    <t>test_multi_threaded_pg.py</t>
  </si>
  <si>
    <t>Tests collectives on multi-threaded PG with wrapper.</t>
  </si>
  <si>
    <t>Tests collectives on multi-threaded PG base class.</t>
  </si>
  <si>
    <t>cpu+cuda — mostly CPU; test_bwd_sees_fwd_pg @skip_if_lt_x_gpu(1)</t>
  </si>
  <si>
    <t>test_fake_pg.py</t>
  </si>
  <si>
    <t>Tests the fake process group for single-process testing.</t>
  </si>
  <si>
    <t>cpu+cuda — basic tests CPU; FSDP/TP tests @skipIf(not HAS_ACCELERATOR)</t>
  </si>
  <si>
    <t>test_pg_wrapper.py</t>
  </si>
  <si>
    <t>Tests PG wrapper with collective validation.</t>
  </si>
  <si>
    <t>cpu+cuda — abstract base for CPU+GPU subclasses</t>
  </si>
  <si>
    <t>test_nccl.py</t>
  </si>
  <si>
    <t>Low-level NCCL API tests.</t>
  </si>
  <si>
    <t>hardcoded_cuda — instantiate_device_type_tests(only_for='cuda') + TEST_CUDA + .cuda()</t>
  </si>
  <si>
    <t>Tests Gloo PG wrapper with validation.</t>
  </si>
  <si>
    <t>cpu+cuda — @skip_if_lt_x_gpu(2) for some tests</t>
  </si>
  <si>
    <t>C10d  ›  DDP &amp; Algorithms</t>
  </si>
  <si>
    <t>algorithms/ddp_comm_hooks/test_ddp_hooks.py</t>
  </si>
  <si>
    <t>Tests DDP communication hooks.</t>
  </si>
  <si>
    <t>accelerator — DistributedTestBase + @skip_if_lt_x_gpu(2)</t>
  </si>
  <si>
    <t>algorithms/test_join.py</t>
  </si>
  <si>
    <t>Tests the Join context manager for uneven inputs.</t>
  </si>
  <si>
    <t>cpu+cuda — NCCL if cuda available else GLOO</t>
  </si>
  <si>
    <t>Tests individual DDP communication hook implementations.</t>
  </si>
  <si>
    <t>C10d  ›  Symmetric Memory (CUDA-specific feature)</t>
  </si>
  <si>
    <t>test_symmetric_memory.py</t>
  </si>
  <si>
    <t>Tests symmetric memory with empty tensors.</t>
  </si>
  <si>
    <t>hardcoded_cuda — @requires_cuda_p2p_access / @requires_cuda</t>
  </si>
  <si>
    <t>Negative tests for symmetric memory API.</t>
  </si>
  <si>
    <t>Tests symmetric memory in single process.</t>
  </si>
  <si>
    <t>Core symmetric memory tests.</t>
  </si>
  <si>
    <t>hardcoded_cuda — @requires_cuda_p2p_access</t>
  </si>
  <si>
    <t>Tests async tensor parallelism with symmetric memory.</t>
  </si>
  <si>
    <t>Tests symmetric memory collective operations.</t>
  </si>
  <si>
    <t>Tests symmetric memory lowering passes.</t>
  </si>
  <si>
    <t>Tests symmetric memory pool management.</t>
  </si>
  <si>
    <t>Tests NCCL symmetric memory.</t>
  </si>
  <si>
    <t>hardcoded_cuda — instantiate_device_type_tests(only_for='cuda')</t>
  </si>
  <si>
    <t>test_nvshmem.py</t>
  </si>
  <si>
    <t>Tests NVSHMEM symmetric memory.</t>
  </si>
  <si>
    <t>hardcoded_cuda — @requires_nvshmem + @skip_if_lt_x_gpu</t>
  </si>
  <si>
    <t>Tests NVSHMEM all-to-all operations.</t>
  </si>
  <si>
    <t>Tests NVSHMEM dispatch combine.</t>
  </si>
  <si>
    <t>Tests NVSHMEM tile communication.</t>
  </si>
  <si>
    <t>test_nvshmem_triton.py</t>
  </si>
  <si>
    <t>Tests NVSHMEM with Triton kernels.</t>
  </si>
  <si>
    <t>test_p2p_ipc.py</t>
  </si>
  <si>
    <t>Tests P2P IPC tensor sharing.</t>
  </si>
  <si>
    <t>test_cupy_as_tensor.py</t>
  </si>
  <si>
    <t>Tests CuPy-PyTorch tensor interop.</t>
  </si>
  <si>
    <t>hardcoded_cuda — TEST_CUDA + .cuda()</t>
  </si>
  <si>
    <t>test_ce_colls.py</t>
  </si>
  <si>
    <t>Tests NCCL copy engine collective operations.</t>
  </si>
  <si>
    <t>hardcoded_cuda — MultiProcContinuousTest + NCCL copy engine</t>
  </si>
  <si>
    <t>Tests NVSHMEM dispatch combine in subgroups.</t>
  </si>
  <si>
    <t>C10d  ›  Dist2</t>
  </si>
  <si>
    <t>test_dist2.py</t>
  </si>
  <si>
    <t>General process group tests.</t>
  </si>
  <si>
    <t>cpu — backend='gloo' device='cpu'</t>
  </si>
  <si>
    <t>Multi-process test harness.</t>
  </si>
  <si>
    <t>cpu+cuda — abstract base</t>
  </si>
  <si>
    <t>Gloo tests in dist2 module.</t>
  </si>
  <si>
    <t>cpu — backend='gloo' device=cpu</t>
  </si>
  <si>
    <t>NCCL tests in dist2 module.</t>
  </si>
  <si>
    <t>hardcoded_cuda — @requires_nccl + device=cuda</t>
  </si>
  <si>
    <t>C10d  ›  Inductor &amp; Overlap</t>
  </si>
  <si>
    <t>test_inductor_collectives.py</t>
  </si>
  <si>
    <t>Tests Inductor-compiled collectives.</t>
  </si>
  <si>
    <t>accelerator — @requires_accelerator_dist_backend(['nccl','xccl']) + @skip_if_lt_x_gpu</t>
  </si>
  <si>
    <t>UNSURE (INDUCTOR)</t>
  </si>
  <si>
    <t>Tests Inductor codegen for collectives.</t>
  </si>
  <si>
    <t>Tests sync decision logic for Inductor.</t>
  </si>
  <si>
    <t>test_aten_comm_compute_reordering.py</t>
  </si>
  <si>
    <t>Tests comm-compute reordering.</t>
  </si>
  <si>
    <t>accelerator — DynamoDistributedMultiProcTestCase + @requires_accelerator_dist_backend</t>
  </si>
  <si>
    <t>Tests bucketing in reordering.</t>
  </si>
  <si>
    <t>Tests manual overlap configurations.</t>
  </si>
  <si>
    <t>test_overlap_bucketing_unit.py</t>
  </si>
  <si>
    <t>Tests overlap-preserving bucketing.</t>
  </si>
  <si>
    <t>hardcoded_cuda — cls.device='cuda' + backend='fake'</t>
  </si>
  <si>
    <t>Tests overlapping across process groups.</t>
  </si>
  <si>
    <t>Tests fusible node overlap identification.</t>
  </si>
  <si>
    <t>Regression tests for overlap scheduling.</t>
  </si>
  <si>
    <t>Tests foreach group overlap bucketing.</t>
  </si>
  <si>
    <t>C10d  ›  Flight Recorder</t>
  </si>
  <si>
    <t>flight_recorder/test_fr_analysis.py</t>
  </si>
  <si>
    <t>Tests flight recorder event parsing.</t>
  </si>
  <si>
    <t>Tests matching events across ranks.</t>
  </si>
  <si>
    <t>E2E test of flight recorder analysis.</t>
  </si>
  <si>
    <t>Device Mesh  —  Device mesh abstraction for multi-dimensional parallelism</t>
  </si>
  <si>
    <t>Device Mesh  ›  Core</t>
  </si>
  <si>
    <t>test_device_mesh.py</t>
  </si>
  <si>
    <t>Tests DeviceMesh with Gloo backend.</t>
  </si>
  <si>
    <t>accelerator — DTensorTestBase (torch.accelerator.current_accelerator)</t>
  </si>
  <si>
    <t>Tests automatic device assignment.</t>
  </si>
  <si>
    <t>Core DeviceMesh API tests.</t>
  </si>
  <si>
    <t>Tests N-dimensional device meshes.</t>
  </si>
  <si>
    <t>Tests init_device_mesh() factory.</t>
  </si>
  <si>
    <t>Tests slicing into device meshes.</t>
  </si>
  <si>
    <t>Tests mesh environment context manager.</t>
  </si>
  <si>
    <t>Tests dimension-scoped collectives.</t>
  </si>
  <si>
    <t>Tests CuTe layout integration.</t>
  </si>
  <si>
    <t>Composable  —  Composable distributed APIs (replicate, checkpoint, contract, 2D/PP composability)</t>
  </si>
  <si>
    <t>Composable  ›  Checkpoint &amp; Contract</t>
  </si>
  <si>
    <t>_composable/test_checkpoint.py</t>
  </si>
  <si>
    <t>Tests activation checkpointing via composable API.</t>
  </si>
  <si>
    <t>cpu+cuda — mostly CPU; some @skipIf(not TEST_CUDA)</t>
  </si>
  <si>
    <t>_composable/test_contract.py</t>
  </si>
  <si>
    <t>Tests the @contract decorator for composable modules.</t>
  </si>
  <si>
    <t>Composable  ›  Replicate (DDP)</t>
  </si>
  <si>
    <t>_composable/test_replicate.py</t>
  </si>
  <si>
    <t>Tests state dict with composable replicate().</t>
  </si>
  <si>
    <t>cpu — gloo backend</t>
  </si>
  <si>
    <t>Core correctness tests for replicate().</t>
  </si>
  <si>
    <t>cpu+cuda — gloo; some tests @skip_if_lt_x_gpu(2)</t>
  </si>
  <si>
    <t>_composable/test_replicate_mixed_precision.py</t>
  </si>
  <si>
    <t>Tests mixed precision with replicate.</t>
  </si>
  <si>
    <t>hardcoded (device, backend) map — FSDPTest</t>
  </si>
  <si>
    <t>Tests dtype casts in mixed-precision replicate.</t>
  </si>
  <si>
    <t>_composable/test_replicate_training.py</t>
  </si>
  <si>
    <t>Tests forward inputs handling in replicate.</t>
  </si>
  <si>
    <t>hardcoded (device, backend) map — FSDPTest/FSDPTestMultiThread</t>
  </si>
  <si>
    <t>Tests explicitly registered parameters.</t>
  </si>
  <si>
    <t>Tests casting parameters after init.</t>
  </si>
  <si>
    <t>Core 1D replication training tests.</t>
  </si>
  <si>
    <t>Tests composing replicate with other strategies.</t>
  </si>
  <si>
    <t>Tests shared parameters in replicate.</t>
  </si>
  <si>
    <t>Tests gradient accumulation with replicate.</t>
  </si>
  <si>
    <t>Tests custom forward methods.</t>
  </si>
  <si>
    <t>Tests composing TP with replicate.</t>
  </si>
  <si>
    <t>_composable/test_replicate_with_compiler.py</t>
  </si>
  <si>
    <t>Tests replicate with torch.compile.</t>
  </si>
  <si>
    <t>Tests replicate with compiler backend.</t>
  </si>
  <si>
    <t>Tests DDP + TP with compiler.</t>
  </si>
  <si>
    <t>accelerator — backend='fake' + get_devtype()</t>
  </si>
  <si>
    <t>_composable/test_replicate_with_fsdp.py</t>
  </si>
  <si>
    <t>Tests composing replicate with FSDP.</t>
  </si>
  <si>
    <t>hardcoded_cuda — nccl backend + @skip_if_lt_x_gpu(4)</t>
  </si>
  <si>
    <t>Composable  ›  2D &amp; PP Composability</t>
  </si>
  <si>
    <t>test_composability/test_2d_composability.py</t>
  </si>
  <si>
    <t>Tests 2D parallel training (FSDP + TP).</t>
  </si>
  <si>
    <t>hardcoded (device, backend) map — FSDPTest + @skip_if_lt_x_gpu</t>
  </si>
  <si>
    <t>Tests state dict for 2D parallel models.</t>
  </si>
  <si>
    <t>Tests FSDP1 with TP in 2D config.</t>
  </si>
  <si>
    <t>Tests newer 2D parallelism API.</t>
  </si>
  <si>
    <t>Tests state dict with newer 2D API.</t>
  </si>
  <si>
    <t>test_composability/test_pp_composability.py</t>
  </si>
  <si>
    <t>Tests pipeline parallelism composition.</t>
  </si>
  <si>
    <t>accelerator — MultiProcContinuousTest + @requires_accelerator_dist_backend</t>
  </si>
  <si>
    <t>test_composability.py</t>
  </si>
  <si>
    <t>Tests pipeline parallelism composition (top-level).</t>
  </si>
  <si>
    <t>Some cuda hardcode</t>
  </si>
  <si>
    <t>FSDP2 (fully_shard)  —  Composable FSDP2 API — the new fully sharded data parallel implementation</t>
  </si>
  <si>
    <t>FSDP2  ›  Autograd &amp; Grad Clipping</t>
  </si>
  <si>
    <t>_composable/fsdp/test_fully_shard_autograd.py</t>
  </si>
  <si>
    <t>Tests autograd through FSDP2 shard/unshard/reduce-scatter.</t>
  </si>
  <si>
    <t>hardcoded (device, backend) map — FSDPTest/FSDPTestMultiThread/FSDPTestContinuous</t>
  </si>
  <si>
    <t>Tests post-accumulate-grad hooks (multi-threaded).</t>
  </si>
  <si>
    <t>Tests post-accumulate-grad hooks (multi-process).</t>
  </si>
  <si>
    <t>_composable/fsdp/test_fully_shard_clip_grad_norm_.py</t>
  </si>
  <si>
    <t>Tests gradient norm clipping with sharded params.</t>
  </si>
  <si>
    <t>Tests gradient norm clipping (world_size=2).</t>
  </si>
  <si>
    <t>Tests gradient norm clipping (world_size=4).</t>
  </si>
  <si>
    <t>FSDP2  ›  Communication</t>
  </si>
  <si>
    <t>_composable/fsdp/test_fully_shard_comm.py</t>
  </si>
  <si>
    <t>Tests allgather/reduce-scatter used by FSDP2.</t>
  </si>
  <si>
    <t>Tests communication patterns during forward/backward.</t>
  </si>
  <si>
    <t>Tests parameter prefetching in FSDP2.</t>
  </si>
  <si>
    <t>Tests unshard operation (multi-process).</t>
  </si>
  <si>
    <t>Tests unshard operation (multi-threaded).</t>
  </si>
  <si>
    <t>Tests memory allocation from PG allocators.</t>
  </si>
  <si>
    <t>hardcoded (device, backend) map — FSDPTest/FSDPTestMultiThread/FSDPTestContinuous, also CUDA hardcode</t>
  </si>
  <si>
    <t>Tests forcing SUM reduction.</t>
  </si>
  <si>
    <t>hardcoded (device, backend) map — FSDPTest/FSDPTestMultiThread/FSDPTestContinuous, also some CUDA hardcode</t>
  </si>
  <si>
    <t>Tests reduce ops with world_size=1.</t>
  </si>
  <si>
    <t>_composable/fsdp/test_fully_shard_extensions.py</t>
  </si>
  <si>
    <t>Tests allgather extensions (common).</t>
  </si>
  <si>
    <t>Tests allgather extensions (multi-process).</t>
  </si>
  <si>
    <t>Tests allgather extensions (multi-threaded).</t>
  </si>
  <si>
    <t>FSDP2  ›  Compile &amp; Frozen</t>
  </si>
  <si>
    <t>_composable/fsdp/test_fully_shard_compile.py</t>
  </si>
  <si>
    <t>Tests FSDP2 compute under torch.compile.</t>
  </si>
  <si>
    <t>E2E tests of FSDP2 with torch.compile.</t>
  </si>
  <si>
    <t>_composable/fsdp/test_fully_shard_frozen.py</t>
  </si>
  <si>
    <t>Tests FSDP2 with frozen parameters.</t>
  </si>
  <si>
    <t>_composable/fsdp/test_fully_shard_grad_scaler.py</t>
  </si>
  <si>
    <t>Tests GradScaler with FSDP2.</t>
  </si>
  <si>
    <t>_composable/fsdp/test_fully_shard_ignore_params.py</t>
  </si>
  <si>
    <t>Tests ignoring specific parameters.</t>
  </si>
  <si>
    <t>FSDP2  ›  Initialization</t>
  </si>
  <si>
    <t>_composable/fsdp/test_fully_shard_init.py</t>
  </si>
  <si>
    <t>Tests init with regular tensors.</t>
  </si>
  <si>
    <t>Tests init with DTensor inputs.</t>
  </si>
  <si>
    <t>Tests mesh argument to fully_shard().</t>
  </si>
  <si>
    <t>Tests which modules FSDP2 manages.</t>
  </si>
  <si>
    <t>Tests param-to-module mapping.</t>
  </si>
  <si>
    <t>Tests ShardedParameter for tensors.</t>
  </si>
  <si>
    <t>Tests ShardedParameter for DTensors.</t>
  </si>
  <si>
    <t>Tests lazy initialization.</t>
  </si>
  <si>
    <t>Tests init from meta-device.</t>
  </si>
  <si>
    <t>Tests init with custom process groups.</t>
  </si>
  <si>
    <t>Tests HSDP parameter broadcasting.</t>
  </si>
  <si>
    <t>Tests HSDP with custom hooks.</t>
  </si>
  <si>
    <t>Tests custom shard placement functions.</t>
  </si>
  <si>
    <t>Tests old import path compatibility.</t>
  </si>
  <si>
    <t>Tests mixed dtype parameters.</t>
  </si>
  <si>
    <t>FSDP2  ›  Logging &amp; Memory</t>
  </si>
  <si>
    <t>_composable/fsdp/test_fully_shard_logging.py</t>
  </si>
  <si>
    <t>Tests FSDP2 logging output.</t>
  </si>
  <si>
    <t>Tests FSDP2 memory usage.</t>
  </si>
  <si>
    <t>hardcoded (device, backend) map — FSDPTest/FSDPTestMultiThread/FSDPTestContinuous, some xpu/cuda hardcoding</t>
  </si>
  <si>
    <t>FSDP2  ›  Mixed Precision &amp; Overlap</t>
  </si>
  <si>
    <t>_composable/fsdp/test_fully_shard_mixed_precision.py</t>
  </si>
  <si>
    <t>Tests mixed precision training.</t>
  </si>
  <si>
    <t>Tests dtype casts in mixed precision.</t>
  </si>
  <si>
    <t>"Abigail Fernandes- Amazon 
"</t>
  </si>
  <si>
    <t>_composable/fsdp/test_fully_shard_overlap.py</t>
  </si>
  <si>
    <t>Tests comm/compute overlap.</t>
  </si>
  <si>
    <t>FSDP2  ›  State &amp; State Dict</t>
  </si>
  <si>
    <t>_composable/fsdp/test_fully_shard_state.py</t>
  </si>
  <si>
    <t>Tests FSDP2 internal state management.</t>
  </si>
  <si>
    <t>_composable/fsdp/test_fully_shard_state_dict.py</t>
  </si>
  <si>
    <t>Tests state dict (multi-process).</t>
  </si>
  <si>
    <t>hardcoded (device, backend) map — FSDPTest/FSDPTestMultiThread/FSDPTestContinuous, also one hardcoded cuda device</t>
  </si>
  <si>
    <t>Tests state dict (multi-threaded).</t>
  </si>
  <si>
    <t>FSDP2  ›  Training</t>
  </si>
  <si>
    <t>_composable/fsdp/test_fully_shard_training.py</t>
  </si>
  <si>
    <t>Tests forward inputs handling.</t>
  </si>
  <si>
    <t>Tests registered parameters.</t>
  </si>
  <si>
    <t>Tests casting after init.</t>
  </si>
  <si>
    <t>Core 1D FSDP training tests.</t>
  </si>
  <si>
    <t>hardcoded (device, backend) map — FSDPTest/FSDPTestMultiThread/FSDPTestContinuous, hardcode in _test_train_parity_multi_group</t>
  </si>
  <si>
    <t>Tests composing 1D FSDP.</t>
  </si>
  <si>
    <t>Tests shard placement (multi-process).</t>
  </si>
  <si>
    <t>Tests shard placement (multi-threaded).</t>
  </si>
  <si>
    <t>Tests shared/tied parameters.</t>
  </si>
  <si>
    <t>Tests gradient accumulation.</t>
  </si>
  <si>
    <t>Tests N-dimensional FSDP training.</t>
  </si>
  <si>
    <t>Tests 3D HSDP training.</t>
  </si>
  <si>
    <t>Tests HSDP training.</t>
  </si>
  <si>
    <t>Tests sharing comm contexts.</t>
  </si>
  <si>
    <t>Tests with world_size=1.</t>
  </si>
  <si>
    <t>Tests with CUDA Graphs.</t>
  </si>
  <si>
    <t>FSDP1  —  Legacy FSDP1 (FullyShardedDataParallel) — the original fully sharded implementation</t>
  </si>
  <si>
    <t>FSDP1  ›  Checkpoint &amp; Core</t>
  </si>
  <si>
    <t>fsdp/test_checkpoint_wrapper.py</t>
  </si>
  <si>
    <t>Tests activation checkpoint wrapper.</t>
  </si>
  <si>
    <t>fsdp/test_distributed_checkpoint.py</t>
  </si>
  <si>
    <t>Tests distributed checkpoint for FSDP1.</t>
  </si>
  <si>
    <t>device_generic(only_for=['cuda','hpu','xpu']) — FSDPTestContinuous + instantiate_device_type_tests</t>
  </si>
  <si>
    <t>fsdp/test_fsdp_apply.py</t>
  </si>
  <si>
    <t>Tests module.apply() with FSDP.</t>
  </si>
  <si>
    <t>fsdp/test_fsdp_backward_prefetch.py</t>
  </si>
  <si>
    <t>Tests backward prefetching.</t>
  </si>
  <si>
    <t>hardcoded (device, backend) map — FSDPTestContinuous + @skip_if_lt_x_gpu(2)</t>
  </si>
  <si>
    <t>fsdp/test_fsdp_checkpoint.py</t>
  </si>
  <si>
    <t>Tests activation checkpointing.</t>
  </si>
  <si>
    <t>hardcoded (device, backend) map — FSDPTest + @skip_if_lt_x_gpu(2)</t>
  </si>
  <si>
    <t>Tests checkpointing submodules.</t>
  </si>
  <si>
    <t>fsdp/test_fsdp_clip_grad_norm.py</t>
  </si>
  <si>
    <t>Tests gradient norm clipping.</t>
  </si>
  <si>
    <t>device_generic(only_for=[devices]) — FSDPTestContinuous + instantiate_device_type_tests</t>
  </si>
  <si>
    <t>fsdp/test_fsdp_comm.py</t>
  </si>
  <si>
    <t>Tests FSDP1 communication patterns.</t>
  </si>
  <si>
    <t>Tests explicit unsharding.</t>
  </si>
  <si>
    <t>fsdp/test_fsdp_comm_hooks.py</t>
  </si>
  <si>
    <t>Tests communication hooks.</t>
  </si>
  <si>
    <t>fsdp/test_fsdp_core.py</t>
  </si>
  <si>
    <t>Tests numerical parity with DDP.</t>
  </si>
  <si>
    <t>device_generic(only_for=[devices]) — FSDPTest + instantiate_device_type_tests</t>
  </si>
  <si>
    <t>Tests parameter initialization.</t>
  </si>
  <si>
    <t>Tests forward/backward hooks.</t>
  </si>
  <si>
    <t>Tests no_grad behavior.</t>
  </si>
  <si>
    <t>Tests autograd correctness.</t>
  </si>
  <si>
    <t>FSDP1  ›  DTensor &amp; Execution</t>
  </si>
  <si>
    <t>fsdp/test_fsdp_dtensor_state_dict.py</t>
  </si>
  <si>
    <t>Tests FSDP1 with DeviceMesh/DTensor.</t>
  </si>
  <si>
    <t>device_generic(only_for=['cuda','hpu','xpu']) — DTensorContinuousTestBase + instantiate_device_type_tests</t>
  </si>
  <si>
    <t>fsdp/test_hsdp_dtensor_state_dict.py</t>
  </si>
  <si>
    <t>Tests HSDP with DeviceMesh/DTensor.</t>
  </si>
  <si>
    <t>fsdp/test_fsdp_exec_order.py</t>
  </si>
  <si>
    <t>Tests execution order validation.</t>
  </si>
  <si>
    <t>fsdp/test_fsdp_fine_tune.py</t>
  </si>
  <si>
    <t>Tests fine-tuning scenarios.</t>
  </si>
  <si>
    <t>fsdp/test_fsdp_flatten_params.py</t>
  </si>
  <si>
    <t>Tests parameter flattening.</t>
  </si>
  <si>
    <t>hardcoded (device, backend) map — FSDPTestContinuous + @skip_if_lt_x_gpu(1)</t>
  </si>
  <si>
    <t>fsdp/test_fsdp_freezing_weights.py</t>
  </si>
  <si>
    <t>Tests freezing weights.</t>
  </si>
  <si>
    <t>fsdp/test_fsdp_fx.py</t>
  </si>
  <si>
    <t>Tests torch.fx tracing.</t>
  </si>
  <si>
    <t>fsdp/test_fsdp_grad_acc.py</t>
  </si>
  <si>
    <t>fsdp/test_fsdp_hybrid_shard.py</t>
  </si>
  <si>
    <t>Tests hybrid sharding.</t>
  </si>
  <si>
    <t>hardcoded (device, backend) map — FSDPTestContinuous + @skip_if_lt_x_gpu</t>
  </si>
  <si>
    <t>fsdp/test_fsdp_ignored_modules.py</t>
  </si>
  <si>
    <t>Tests ignoring modules.</t>
  </si>
  <si>
    <t>fsdp/test_fsdp_input.py</t>
  </si>
  <si>
    <t>Tests various input types.</t>
  </si>
  <si>
    <t>fsdp/test_fsdp_memory.py</t>
  </si>
  <si>
    <t>Tests memory usage.</t>
  </si>
  <si>
    <t>fsdp/test_fsdp_meta.py</t>
  </si>
  <si>
    <t>Tests meta-device init.</t>
  </si>
  <si>
    <t>FSDP1  ›  Misc &amp; Mixed Precision</t>
  </si>
  <si>
    <t>fsdp/test_fsdp_misc.py</t>
  </si>
  <si>
    <t>Misc tests (multi-process).</t>
  </si>
  <si>
    <t>Misc tests (multi-threaded).</t>
  </si>
  <si>
    <t>fsdp/test_fsdp_mixed_precision.py</t>
  </si>
  <si>
    <t>hardcoded_cuda — FSDPTest + explicit .cuda() / device='cuda'</t>
  </si>
  <si>
    <t>Tests mixed precision (sharded).</t>
  </si>
  <si>
    <t>Tests mixed precision (unsharded).</t>
  </si>
  <si>
    <t>Tests mixed precision with ignored modules.</t>
  </si>
  <si>
    <t>Tests different submodule precision.</t>
  </si>
  <si>
    <t>Tests train/eval mode transitions.</t>
  </si>
  <si>
    <t>FSDP1  ›  Multiple Forward &amp; Optimizer</t>
  </si>
  <si>
    <t>fsdp/test_fsdp_multiple_forward.py</t>
  </si>
  <si>
    <t>Tests multiple forward passes.</t>
  </si>
  <si>
    <t>device_generic(only_for=['cpu','hpu','xpu']) — FSDPTestContinuous + instantiate_device_type_tests</t>
  </si>
  <si>
    <t>fsdp/test_fsdp_multiple_wrapping.py</t>
  </si>
  <si>
    <t>Tests nested FSDP wrapping.</t>
  </si>
  <si>
    <t>fsdp/test_fsdp_optim_state.py</t>
  </si>
  <si>
    <t>Tests optimizer state dict.</t>
  </si>
  <si>
    <t>hardcoded_cuda — FSDPTest + device='cuda' in test helper</t>
  </si>
  <si>
    <t>fsdp/test_fsdp_overlap.py</t>
  </si>
  <si>
    <t>Tests overlap (world_size=1).</t>
  </si>
  <si>
    <t>Tests overlap (world_size=2).</t>
  </si>
  <si>
    <t>fsdp/test_fsdp_pure_fp16.py</t>
  </si>
  <si>
    <t>Tests pure FP16 training.</t>
  </si>
  <si>
    <t>fsdp/test_fsdp_sharded_grad_scaler.py</t>
  </si>
  <si>
    <t>Tests ShardedGradScaler.</t>
  </si>
  <si>
    <t>cpu — DummyProcessGroup + CPU tensors</t>
  </si>
  <si>
    <t>Tests GradScaler parity with DDP.</t>
  </si>
  <si>
    <t>FSDP1  ›  State Dict &amp; TP</t>
  </si>
  <si>
    <t>fsdp/test_fsdp_state_dict.py</t>
  </si>
  <si>
    <t>Tests FSDP1 state dict.</t>
  </si>
  <si>
    <t>Tests state dict (4 GPUs).</t>
  </si>
  <si>
    <t>fsdp/test_fsdp_tp_integration.py</t>
  </si>
  <si>
    <t>Tests FSDP1 + TP integration.</t>
  </si>
  <si>
    <t>hardcoded (device, backend) map — FSDPTestContinuous + @skip_if_lt_x_gpu(4)</t>
  </si>
  <si>
    <t>fsdp/test_fsdp_traversal.py</t>
  </si>
  <si>
    <t>Tests FSDP module traversal.</t>
  </si>
  <si>
    <t>fsdp/test_fsdp_uneven.py</t>
  </si>
  <si>
    <t>Tests uneven parameter sharding.</t>
  </si>
  <si>
    <t>FSDP1  ›  Unshard &amp; Use Orig Params</t>
  </si>
  <si>
    <t>fsdp/test_fsdp_unshard_params.py</t>
  </si>
  <si>
    <t>Base tests for unshard params.</t>
  </si>
  <si>
    <t>Tests unsharding parameters.</t>
  </si>
  <si>
    <t>Tests unshard in NO_SHARD mode.</t>
  </si>
  <si>
    <t>Tests unshard error handling.</t>
  </si>
  <si>
    <t>fsdp/test_fsdp_use_orig_params.py</t>
  </si>
  <si>
    <t>Tests use_orig_params with param groups.</t>
  </si>
  <si>
    <t>Tests unshard/reshard with orig params.</t>
  </si>
  <si>
    <t>Tests param access with orig params.</t>
  </si>
  <si>
    <t>Tests writeback with orig params.</t>
  </si>
  <si>
    <t>Tests FQNs with orig params.</t>
  </si>
  <si>
    <t>Tests no_sync with orig params.</t>
  </si>
  <si>
    <t>Tests init with orig params.</t>
  </si>
  <si>
    <t>Tests multi-tensor apply.</t>
  </si>
  <si>
    <t>cpu+cuda — separate _cpu and _cuda test methods</t>
  </si>
  <si>
    <t>FSDP1  ›  Shard Utils &amp; Wrap</t>
  </si>
  <si>
    <t>fsdp/test_shard_utils.py</t>
  </si>
  <si>
    <t>Tests shard utility functions.</t>
  </si>
  <si>
    <t>Tests shard utils with DTensor.</t>
  </si>
  <si>
    <t>accelerator — DTensorTestBase + @skip_if_lt_x_gpu(2)</t>
  </si>
  <si>
    <t>fsdp/test_utils.py</t>
  </si>
  <si>
    <t>Tests general FSDP utilities.</t>
  </si>
  <si>
    <t>device_generic(only_for=['cuda','hpu','xpu']) — instantiate_device_type_tests</t>
  </si>
  <si>
    <t>fsdp/test_wrap.py</t>
  </si>
  <si>
    <t>Tests FSDP wrapping API.</t>
  </si>
  <si>
    <t>Tests auto-wrapping policies.</t>
  </si>
  <si>
    <t>hardcoded_cuda — requires TEST_MULTIGPU/TEST_CUDA + models on cuda</t>
  </si>
  <si>
    <t>Tests wrapping utilities.</t>
  </si>
  <si>
    <t>DTensor  —  Distributed Tensor (DTensor) abstraction for tensor-level distributed semantics</t>
  </si>
  <si>
    <t>DTensor  ›  API &amp; Attention</t>
  </si>
  <si>
    <t>tensor/test_api.py</t>
  </si>
  <si>
    <t>Tests top-level DTensor API.</t>
  </si>
  <si>
    <t>tensor/test_attention.py</t>
  </si>
  <si>
    <t>Tests Ring Attention (context parallel).</t>
  </si>
  <si>
    <t>Tests Context Parallel Flex Attention.</t>
  </si>
  <si>
    <t>Tests custom CP attention ops.</t>
  </si>
  <si>
    <t>Tests attention tensor sharding.</t>
  </si>
  <si>
    <t>Tests CP styles (ring, ulysses).</t>
  </si>
  <si>
    <t>Tests CP with SDPA backend.</t>
  </si>
  <si>
    <t>DTensor  ›  Core Operations</t>
  </si>
  <si>
    <t>tensor/test_common_rules.py</t>
  </si>
  <si>
    <t>Tests sharding propagation rules.</t>
  </si>
  <si>
    <t>tensor/test_compile_on_one_rank.py</t>
  </si>
  <si>
    <t>Tests compiling on single rank.</t>
  </si>
  <si>
    <t>tensor/test_convolution_ops.py</t>
  </si>
  <si>
    <t>Tests distributed convolution ops.</t>
  </si>
  <si>
    <t>tensor/test_dtensor.py</t>
  </si>
  <si>
    <t>Core DTensor tests.</t>
  </si>
  <si>
    <t>Tests DTensor on different meshes.</t>
  </si>
  <si>
    <t>Tests placement type semantics.</t>
  </si>
  <si>
    <t>Tests DTensorSpec.</t>
  </si>
  <si>
    <t>Tests mixed partial placement types.</t>
  </si>
  <si>
    <t>accelerator — DTensorTestBase</t>
  </si>
  <si>
    <t>tensor/test_dtensor_compile.py</t>
  </si>
  <si>
    <t>Tests torch.compile with DTensor.</t>
  </si>
  <si>
    <t>cpu+cuda — FakeStore; device_type=accelerator or 'cpu'; some @skip_if_lt_x_gpu</t>
  </si>
  <si>
    <t>E2E compiled DTensor tests.</t>
  </si>
  <si>
    <t>tensor/test_dtensor_export.py</t>
  </si>
  <si>
    <t>Tests DTensor export.</t>
  </si>
  <si>
    <t>hardcoded_cuda — @requires_cuda + device='cuda'</t>
  </si>
  <si>
    <t>tensor/test_dtensor_ops.py</t>
  </si>
  <si>
    <t>Tests PyTorch ops on DTensors.</t>
  </si>
  <si>
    <t>device_generic(only_for=[DEVICE_TYPE]) — instantiate_device_type_tests</t>
  </si>
  <si>
    <t>Tests DTensor ops (multi-threaded).</t>
  </si>
  <si>
    <t>Tests DTensor ops with local ref.</t>
  </si>
  <si>
    <t>Tests single-dim sharding strategies.</t>
  </si>
  <si>
    <t>Tests unbacked DTensor operations.</t>
  </si>
  <si>
    <t>tensor/test_dtensor_testbase.py</t>
  </si>
  <si>
    <t>Tests DTensor test utilities.</t>
  </si>
  <si>
    <t>cpu — overrides device_type='cpu' backend='gloo'</t>
  </si>
  <si>
    <t>tensor/test_dynamic.py</t>
  </si>
  <si>
    <t>Tests DTensor with dynamic shapes.</t>
  </si>
  <si>
    <t>tensor/test_embedding_ops.py</t>
  </si>
  <si>
    <t>Tests distributed embeddings.</t>
  </si>
  <si>
    <t>tensor/test_experimental_ops.py</t>
  </si>
  <si>
    <t>Tests experimental distributed ops.</t>
  </si>
  <si>
    <t>tensor/test_init.py</t>
  </si>
  <si>
    <t>Tests DTensor init ops.</t>
  </si>
  <si>
    <t>Tests DTensor constructors.</t>
  </si>
  <si>
    <t>tensor/test_math_ops.py</t>
  </si>
  <si>
    <t>Tests distributed math ops.</t>
  </si>
  <si>
    <t>tensor/test_matrix_ops.py</t>
  </si>
  <si>
    <t>Tests distributed matrix ops.</t>
  </si>
  <si>
    <t>tensor/test_decompositions.py</t>
  </si>
  <si>
    <t>Tests decomposition sharding.</t>
  </si>
  <si>
    <t>Tests decomposition sharding with communications.</t>
  </si>
  <si>
    <t>DTensor  ›  Strategy &amp; Schema</t>
  </si>
  <si>
    <t>tensor/test_op_schema.py</t>
  </si>
  <si>
    <t>Tests op schema system.</t>
  </si>
  <si>
    <t>tensor/test_op_strategy.py</t>
  </si>
  <si>
    <t>Tests einsum dimension parsing.</t>
  </si>
  <si>
    <t>Tests einsum sharding strategies.</t>
  </si>
  <si>
    <t>Tests sharding cost model.</t>
  </si>
  <si>
    <t>Tests replicate strategy registration.</t>
  </si>
  <si>
    <t>tensor/test_dtensor_dispatch_overhead.py</t>
  </si>
  <si>
    <t>Benchmarks DTensor dispatch overhead.</t>
  </si>
  <si>
    <t>Tests strategy hashing.</t>
  </si>
  <si>
    <t>Tests strategy operations.</t>
  </si>
  <si>
    <t>Tests op schema meta properties.</t>
  </si>
  <si>
    <t>cpu — FakeStore + DeviceMesh('cpu')</t>
  </si>
  <si>
    <t>Tests expanding strategies to full mesh.</t>
  </si>
  <si>
    <t>Tests unsupported DTensor op handling.</t>
  </si>
  <si>
    <t>tensor/test_strategy_validation.py</t>
  </si>
  <si>
    <t>Tests placement utility functions.</t>
  </si>
  <si>
    <t>Tests placement normalization.</t>
  </si>
  <si>
    <t>Tests input placement validation.</t>
  </si>
  <si>
    <t>Tests tensor extraction from strategy.</t>
  </si>
  <si>
    <t>DTensor  ›  Optimizer &amp; Placement</t>
  </si>
  <si>
    <t>tensor/test_optimizers.py</t>
  </si>
  <si>
    <t>Tests optimizers on DTensor params.</t>
  </si>
  <si>
    <t>tensor/test_placement_types.py</t>
  </si>
  <si>
    <t>Tests placement type construction.</t>
  </si>
  <si>
    <t>tensor/test_pointwise_ops.py</t>
  </si>
  <si>
    <t>Tests distributed elementwise ops.</t>
  </si>
  <si>
    <t>tensor/test_random_ops.py</t>
  </si>
  <si>
    <t>Tests random init of DTensors.</t>
  </si>
  <si>
    <t>Tests random ops on DTensors.</t>
  </si>
  <si>
    <t>Tests random ops on 3D mesh.</t>
  </si>
  <si>
    <t>DTensor  ›  Redistribute &amp; Utils</t>
  </si>
  <si>
    <t>tensor/test_redistribute.py</t>
  </si>
  <si>
    <t>Tests DTensor redistribution.</t>
  </si>
  <si>
    <t>Tests multi-dim redistribution.</t>
  </si>
  <si>
    <t>Tests redistribution with device order.</t>
  </si>
  <si>
    <t>Tests strided shard redistribution.</t>
  </si>
  <si>
    <t>Tests transform info for redistribution.</t>
  </si>
  <si>
    <t>Tests optimized flattened reductions.</t>
  </si>
  <si>
    <t>Tests multi-dim redistribute optimization.</t>
  </si>
  <si>
    <t>Tests flattened reduction integration.</t>
  </si>
  <si>
    <t>Tests uneven flattened reduce-scatter.</t>
  </si>
  <si>
    <t>tensor/test_single_dim_strategy.py</t>
  </si>
  <si>
    <t>Tests placeholder expansion.</t>
  </si>
  <si>
    <t>Tests single-dim strategy registration.</t>
  </si>
  <si>
    <t>tensor/test_tensor_ops.py</t>
  </si>
  <si>
    <t>Tests tensor ops on DTensors.</t>
  </si>
  <si>
    <t>Tests argmax/argmin on DTensors.</t>
  </si>
  <si>
    <t>Tests distributed bucketize op.</t>
  </si>
  <si>
    <t>tensor/test_utils.py</t>
  </si>
  <si>
    <t>Tests local shard utilities.</t>
  </si>
  <si>
    <t>Tests DTensor utility functions.</t>
  </si>
  <si>
    <t>Tests utils (single device).</t>
  </si>
  <si>
    <t>Tests strided sharding.</t>
  </si>
  <si>
    <t>Tests strided shard propagation.</t>
  </si>
  <si>
    <t>Tests strided shard with optimizer.</t>
  </si>
  <si>
    <t>Tests strided shard ordering.</t>
  </si>
  <si>
    <t>Tests 2D strided local shard.</t>
  </si>
  <si>
    <t>LocalTensor test base.</t>
  </si>
  <si>
    <t>Tests strided shard + replicate.</t>
  </si>
  <si>
    <t>Tests explicit redistribution.</t>
  </si>
  <si>
    <t>Tests is_tensor_shardable utility.</t>
  </si>
  <si>
    <t>Tests strided shard collective op utilities.</t>
  </si>
  <si>
    <t>tensor/test_view_ops.py</t>
  </si>
  <si>
    <t>Tests view ops on DTensors.</t>
  </si>
  <si>
    <t>tensor/test_xla_integration.py</t>
  </si>
  <si>
    <t>Tests DTensor with XLA backend.</t>
  </si>
  <si>
    <t>no_device — requires XLA; skips if not available</t>
  </si>
  <si>
    <t>DTensor  ›  Debug &amp; Experimental</t>
  </si>
  <si>
    <t>tensor/debug/test_comm_mode.py</t>
  </si>
  <si>
    <t>Tests CommMode for tracking comms.</t>
  </si>
  <si>
    <t>cpu+cuda — FakeStore; most tests on available device; test_comm_mode_with_c10d requires accelerator</t>
  </si>
  <si>
    <t>tensor/debug/test_comm_mode_features.py</t>
  </si>
  <si>
    <t>Tests advanced CommMode features.</t>
  </si>
  <si>
    <t>tensor/debug/test_debug_mode.py</t>
  </si>
  <si>
    <t>Tests DTensor debug mode.</t>
  </si>
  <si>
    <t>Tests debug mode utilities.</t>
  </si>
  <si>
    <t>Tests debug mode with NCCL.</t>
  </si>
  <si>
    <t>tensor/debug/test_op_coverage.py</t>
  </si>
  <si>
    <t>Tests op coverage reporting.</t>
  </si>
  <si>
    <t>tensor/experimental/test_local_map.py</t>
  </si>
  <si>
    <t>Tests local_map function.</t>
  </si>
  <si>
    <t>tensor/experimental/test_register_sharding.py</t>
  </si>
  <si>
    <t>Tests custom sharding registration.</t>
  </si>
  <si>
    <t>tensor/experimental/test_tp_transform.py</t>
  </si>
  <si>
    <t>Tests experimental TP transform.</t>
  </si>
  <si>
    <t>tensor/test_dtensor_logging.py</t>
  </si>
  <si>
    <t>Tests DTensor logging.</t>
  </si>
  <si>
    <t>DTensor  ›  Tensor Parallel</t>
  </si>
  <si>
    <t>tensor/parallel/test_micro_pipeline_tp.py</t>
  </si>
  <si>
    <t>Tests micro-pipeline TP.</t>
  </si>
  <si>
    <t>hardcoded_cuda — torch.cuda.set_device('cuda:0') + @skipIf(not HAS_GPU)</t>
  </si>
  <si>
    <t>Tests micro-pipeline TP (4 GPUs).</t>
  </si>
  <si>
    <t>tensor/parallel/test_parallelize_api.py</t>
  </si>
  <si>
    <t>Tests parallelize_module API.</t>
  </si>
  <si>
    <t>tensor/parallel/test_tp_examples.py</t>
  </si>
  <si>
    <t>Tests TP examples.</t>
  </si>
  <si>
    <t>tensor/parallel/test_tp_random_state.py</t>
  </si>
  <si>
    <t>Tests TP random state management.</t>
  </si>
  <si>
    <t>tensor/parallel/test_tp_style.py</t>
  </si>
  <si>
    <t>Tests TP style configurations.</t>
  </si>
  <si>
    <t>Distributed Checkpoint  —  State dict management, async checkpointing, and filesystem integrations for saving/loading distributed model states</t>
  </si>
  <si>
    <t>Distributed Checkpoint  ›  Async Staging</t>
  </si>
  <si>
    <t>TestReaderWriterCount</t>
  </si>
  <si>
    <t>checkpoint/test_async_staging.py</t>
  </si>
  <si>
    <t>Tests async staging reader/writer counting.</t>
  </si>
  <si>
    <t>TestAsyncStaging</t>
  </si>
  <si>
    <t>Tests asynchronous checkpoint staging.</t>
  </si>
  <si>
    <t>TestAsyncCheckpointExecutor</t>
  </si>
  <si>
    <t>checkpoint/test_checkpoint.py</t>
  </si>
  <si>
    <t>Tests async checkpoint executor.</t>
  </si>
  <si>
    <t>hardcoded_cuda — ShardedTensorTestBase + @requires_nccl</t>
  </si>
  <si>
    <t>TestAsyncCheckpointer</t>
  </si>
  <si>
    <t>Tests async checkpointer functionality.</t>
  </si>
  <si>
    <t>Distributed Checkpoint  ›  File System</t>
  </si>
  <si>
    <t>checkpoint/test_file_system.py</t>
  </si>
  <si>
    <t>Tests checkpoint file system abstraction.</t>
  </si>
  <si>
    <t>TestFileSystemReader</t>
  </si>
  <si>
    <t>checkpoint/test_file_system_reader.py</t>
  </si>
  <si>
    <t>Tests file system reader for checkpoints.</t>
  </si>
  <si>
    <t>TestFileSystemWriter</t>
  </si>
  <si>
    <t>checkpoint/test_file_system_writer.py</t>
  </si>
  <si>
    <t>Tests file system writer for checkpoints.</t>
  </si>
  <si>
    <t>TestStorage</t>
  </si>
  <si>
    <t>checkpoint/test_storage.py</t>
  </si>
  <si>
    <t>Tests storage layer for checkpoints.</t>
  </si>
  <si>
    <t>Distributed Checkpoint  ›  Planner &amp; Utils</t>
  </si>
  <si>
    <t>TestPlanner</t>
  </si>
  <si>
    <t>checkpoint/test_planner.py</t>
  </si>
  <si>
    <t>Tests checkpoint planner logic.</t>
  </si>
  <si>
    <t>checkpoint/test_traversal.py</t>
  </si>
  <si>
    <t>Tests state dict traversal utilities.</t>
  </si>
  <si>
    <t>Distributed Checkpoint  ›  Experimental</t>
  </si>
  <si>
    <t>checkpoint/_experimental/test_checkpointer.py</t>
  </si>
  <si>
    <t>Tests async checkpointer specific functionality.</t>
  </si>
  <si>
    <t>Tests experimental checkpointer API.</t>
  </si>
  <si>
    <t>checkpoint/_experimental/test_checkpoint_process.py</t>
  </si>
  <si>
    <t>Tests checkpoint process management.</t>
  </si>
  <si>
    <t>Tests checkpoint process configuration.</t>
  </si>
  <si>
    <t>Tests checkpoint request types.</t>
  </si>
  <si>
    <t>checkpoint/_experimental/test_checkpoint_reader.py</t>
  </si>
  <si>
    <t>Tests experimental checkpoint reader.</t>
  </si>
  <si>
    <t>checkpoint/_experimental/test_checkpoint_writer.py</t>
  </si>
  <si>
    <t>Tests experimental checkpoint writer.</t>
  </si>
  <si>
    <t>Tests checkpoint writer configuration.</t>
  </si>
  <si>
    <t>checkpoint/_experimental/test_barriers.py</t>
  </si>
  <si>
    <t>Tests checkpoint barrier synchronization.</t>
  </si>
  <si>
    <t>checkpoint/_experimental/test_types.py</t>
  </si>
  <si>
    <t>Tests rank info types.</t>
  </si>
  <si>
    <t>Distributed Checkpoint  ›  Core</t>
  </si>
  <si>
    <t>checkpoint/test_async_process_executor.py</t>
  </si>
  <si>
    <t>Tests async process executor.</t>
  </si>
  <si>
    <t>Tests async process executor with prefix store.</t>
  </si>
  <si>
    <t>cpu — gloo backend + world_size=1</t>
  </si>
  <si>
    <t>checkpoint/test_pg_transport.py</t>
  </si>
  <si>
    <t>Tests tensor casting during checkpoint.</t>
  </si>
  <si>
    <t>Tests PG transport edge cases.</t>
  </si>
  <si>
    <t>cpu+cuda — CPU base; some @skipIf(not HAS_ACCELERATOR)</t>
  </si>
  <si>
    <t>Tests PG transport with mocking.</t>
  </si>
  <si>
    <t>checkpoint/test_dtensor_resharding.py</t>
  </si>
  <si>
    <t>Tests checkpointable resharding.</t>
  </si>
  <si>
    <t>accelerator — DTensorTestBase + @skip_if_lt_x_gpu(4)</t>
  </si>
  <si>
    <t>Tests DTensor reshard with mesh changes.</t>
  </si>
  <si>
    <t>accelerator — DTensorTestBase + @skip_if_lt_x_gpu</t>
  </si>
  <si>
    <t>Tests DTensor reshard with placement changes.</t>
  </si>
  <si>
    <t>checkpoint/test_compatibility.py</t>
  </si>
  <si>
    <t>Tests distributed checkpoint compatibility.</t>
  </si>
  <si>
    <t>checkpoint/test_dedup_tensors.py</t>
  </si>
  <si>
    <t>Tests tensor deduplication.</t>
  </si>
  <si>
    <t>checkpoint/test_state_dict_stager.py</t>
  </si>
  <si>
    <t>Tests default stager.</t>
  </si>
  <si>
    <t>cpu+cuda — some @requires_cuda; other tests CPU</t>
  </si>
  <si>
    <t>Tests replication stager.</t>
  </si>
  <si>
    <t>Tests state dict stager.</t>
  </si>
  <si>
    <t>hardcoded_cuda — @skipIf(not HAS_ACCELERATOR) + accelerator device</t>
  </si>
  <si>
    <t>Tests DTensor state dict stager.</t>
  </si>
  <si>
    <t>accelerator — DTensorTestBase + @requires_accelerator_dist_backend</t>
  </si>
  <si>
    <t>checkpoint/test_state_dict.py</t>
  </si>
  <si>
    <t>Tests state dict operations.</t>
  </si>
  <si>
    <t>checkpoint/test_state_dict_utils.py</t>
  </si>
  <si>
    <t>Tests state dict utilities.</t>
  </si>
  <si>
    <t>checkpoint/test_utils.py</t>
  </si>
  <si>
    <t>Tests reader view utilities.</t>
  </si>
  <si>
    <t>checkpoint/test_traverse.py</t>
  </si>
  <si>
    <t>Tests state dict traversal.</t>
  </si>
  <si>
    <t>checkpoint/test_save_load_api.py</t>
  </si>
  <si>
    <t>Tests save and load API.</t>
  </si>
  <si>
    <t>Tests save plan generation.</t>
  </si>
  <si>
    <t>Tests load planner.</t>
  </si>
  <si>
    <t>Tests global plan validation.</t>
  </si>
  <si>
    <t>Tests planner helper functions.</t>
  </si>
  <si>
    <t>checkpoint/test_format_utils.py</t>
  </si>
  <si>
    <t>Tests format utilities.</t>
  </si>
  <si>
    <t>checkpoint/test_consolidate_hf_safetensors.py</t>
  </si>
  <si>
    <t>Tests HuggingFace safetensors consolidation.</t>
  </si>
  <si>
    <t>checkpoint/test_hf_storage.py</t>
  </si>
  <si>
    <t>Tests HuggingFace storage.</t>
  </si>
  <si>
    <t>Tests quantized HuggingFace storage.</t>
  </si>
  <si>
    <t>checkpoint/test_hf_safetensor_e2e.py</t>
  </si>
  <si>
    <t>Tests single rank save/load.</t>
  </si>
  <si>
    <t>no_device — no_dist=True + CPU</t>
  </si>
  <si>
    <t>Tests distributed HF safetensors consolidation.</t>
  </si>
  <si>
    <t>checkpoint/test_tp_checkpoint.py</t>
  </si>
  <si>
    <t>Tests tensor parallel checkpoint.</t>
  </si>
  <si>
    <t>checkpoint/test_hsdp_checkpoint.py</t>
  </si>
  <si>
    <t>Tests HSDP checkpoint.</t>
  </si>
  <si>
    <t>checkpoint/test_fsdp_tp_checkpoint_conversion.py</t>
  </si>
  <si>
    <t>Tests FSDP+TP checkpoint conversion.</t>
  </si>
  <si>
    <t>checkpoint/test_fsdp_model_state.py</t>
  </si>
  <si>
    <t>Tests FSDP model state checkpoint.</t>
  </si>
  <si>
    <t>checkpoint/test_dtensor_checkpoint.py</t>
  </si>
  <si>
    <t>Tests DTensor-aware checkpoint planner.</t>
  </si>
  <si>
    <t>checkpoint/test_fsdp_optim_state.py</t>
  </si>
  <si>
    <t>Tests FSDP optimizer state checkpoint.</t>
  </si>
  <si>
    <t>Tests PG transport on CPU.</t>
  </si>
  <si>
    <t>cpu — MultiProcContinuousTest + gloo</t>
  </si>
  <si>
    <t>Tests PG transport on GPU.</t>
  </si>
  <si>
    <t>accelerator — MultiProcContinuousTest + @skip_if_lt_x_gpu</t>
  </si>
  <si>
    <t>Distributed Checkpoint  ›  E2E &amp; Examples</t>
  </si>
  <si>
    <t>checkpoint/e2e/test_distributed_checkpointing.py</t>
  </si>
  <si>
    <t>Tests distributed checkpointing end-to-end.</t>
  </si>
  <si>
    <t>checkpoint/e2e/test_distributed_state_dict_save_load.py</t>
  </si>
  <si>
    <t>Tests distributed state dict save/load.</t>
  </si>
  <si>
    <t>no_device — TestCase + no_dist=True + CPU</t>
  </si>
  <si>
    <t>Tests distributed state dict with Rot13 encoding.</t>
  </si>
  <si>
    <t>Tests distributed state dict with caching.</t>
  </si>
  <si>
    <t>Tests distributed state dict with shared tensors.</t>
  </si>
  <si>
    <t>cpu — ShardedTensorTestBase + backend='gloo'</t>
  </si>
  <si>
    <t>Tests distributed state dict with ZStandard compression.</t>
  </si>
  <si>
    <t>checkpoint/e2e/test_distributed_reshard_on_load.py</t>
  </si>
  <si>
    <t>Tests distributed reshard on load.</t>
  </si>
  <si>
    <t>checkpoint/test_file_system_checkpoint_cpu.py</t>
  </si>
  <si>
    <t>Tests distributed state dict save/load (CPU).</t>
  </si>
  <si>
    <t>Tests distributed state dict with Rot13 (CPU).</t>
  </si>
  <si>
    <t>Tests distributed state dict with ZStandard (CPU).</t>
  </si>
  <si>
    <t>Tests distributed state dict with shared tensors (CPU).</t>
  </si>
  <si>
    <t>Tests distributed reshard on load (CPU).</t>
  </si>
  <si>
    <t>checkpoint/e2e/test_distributed_failure.py</t>
  </si>
  <si>
    <t>Tests distributed failure handling.</t>
  </si>
  <si>
    <t>checkpoint/e2e/test_e2e_save_and_load.py</t>
  </si>
  <si>
    <t>Tests end-to-end save and load.</t>
  </si>
  <si>
    <t>checkpoint/e2e/test_finetuning.py</t>
  </si>
  <si>
    <t>Tests checkpoint-based finetuning.</t>
  </si>
  <si>
    <t>checkpoint/e2e/test_fully_shard_with_distributed_state_dict.py</t>
  </si>
  <si>
    <t>Tests fully_shard with distributed state dict.</t>
  </si>
  <si>
    <t>checkpoint/e2e/test_init_state_dict.py</t>
  </si>
  <si>
    <t>Tests initial state dict setup.</t>
  </si>
  <si>
    <t>checkpoint/e2e/test_examples.py</t>
  </si>
  <si>
    <t>Tests basic operations example.</t>
  </si>
  <si>
    <t>Tests collective operations example.</t>
  </si>
  <si>
    <t>Tests DTensor integration example.</t>
  </si>
  <si>
    <t>Tests uneven sharding example.</t>
  </si>
  <si>
    <t>Tests rank-specific example.</t>
  </si>
  <si>
    <t>Tests multi-dimensional mesh example.</t>
  </si>
  <si>
    <t>checkpoint/test_fsspec.py</t>
  </si>
  <si>
    <t>Tests filesystem spec integration.</t>
  </si>
  <si>
    <t>Elastic  —  Elastic training infrastructure including agents, rendezvous, multiprocessing, and fault tolerance</t>
  </si>
  <si>
    <t>Elastic  ›  Agent &amp; Control</t>
  </si>
  <si>
    <t>elastic/agent/server/test_local_elastic_agent.py</t>
  </si>
  <si>
    <t>Tests local elastic agent lifecycle management.</t>
  </si>
  <si>
    <t>TimerServerTest</t>
  </si>
  <si>
    <t>elastic/timer/local_timer_example.py</t>
  </si>
  <si>
    <t>Tests local timer server for elastic training.</t>
  </si>
  <si>
    <t>elastic/timer/file_based_local_timer.py</t>
  </si>
  <si>
    <t>Tests file-based timer server.</t>
  </si>
  <si>
    <t>TimerClientTest</t>
  </si>
  <si>
    <t>elastic/timer/test_timer.py</t>
  </si>
  <si>
    <t>Tests timer client functionality.</t>
  </si>
  <si>
    <t>ApiDataClassTest</t>
  </si>
  <si>
    <t>elastic/agent/server/test_api.py</t>
  </si>
  <si>
    <t>Tests elastic agent API data classes.</t>
  </si>
  <si>
    <t>WatchdogTest</t>
  </si>
  <si>
    <t>elastic/multiprocessing/test_tail_log.py</t>
  </si>
  <si>
    <t>Tests tail log functionality for process monitoring.</t>
  </si>
  <si>
    <t>SubprocessContextTest</t>
  </si>
  <si>
    <t>elastic/multiprocessing/test_subprocess.py</t>
  </si>
  <si>
    <t>Tests subprocess context management.</t>
  </si>
  <si>
    <t>Elastic  ›  Rendezvous</t>
  </si>
  <si>
    <t>elastic/rendezvous/test_static_tcp_rendezvous.py</t>
  </si>
  <si>
    <t>Tests static TCP-based rendezvous.</t>
  </si>
  <si>
    <t>DynamicRendezvousTest</t>
  </si>
  <si>
    <t>elastic/rendezvous/test_dynamic_rendezvous.py</t>
  </si>
  <si>
    <t>Tests dynamic rendezvous for elastic scaling.</t>
  </si>
  <si>
    <t>elastic/rendezvous/test_dynamic_rendezvous_handler.py</t>
  </si>
  <si>
    <t>Tests dynamic rendezvous handler.</t>
  </si>
  <si>
    <t>C10dRendezvousBackendTest</t>
  </si>
  <si>
    <t>elastic/rendezvous/test_c10d_rendezvous_backend.py</t>
  </si>
  <si>
    <t>Tests C10d-based rendezvous backend.</t>
  </si>
  <si>
    <t>elastic/rendezvous/test_etcd_rendezvous.py</t>
  </si>
  <si>
    <t>Tests etcd-based rendezvous.</t>
  </si>
  <si>
    <t>elastic/rendezvous/rendezvous_backend_test.py</t>
  </si>
  <si>
    <t>Abstract mixin providing rendezvous backend test methods.</t>
  </si>
  <si>
    <t>elastic/rendezvous/test_etcd_rendezvous_backend.py</t>
  </si>
  <si>
    <t>Tests etcd rendezvous backend.</t>
  </si>
  <si>
    <t>elastic/rendezvous/test_etcd_server.py</t>
  </si>
  <si>
    <t>Tests etcd server integration.</t>
  </si>
  <si>
    <t>EtcdStoreTest</t>
  </si>
  <si>
    <t>elastic/rendezvous/test_etcd_store.py</t>
  </si>
  <si>
    <t>Tests etcd-based distributed store.</t>
  </si>
  <si>
    <t>RendezvousUtilsTest</t>
  </si>
  <si>
    <t>elastic/rendezvous/test_utils.py</t>
  </si>
  <si>
    <t>Tests rendezvous utility functions.</t>
  </si>
  <si>
    <t>elastic/rendezvous/test_api.py</t>
  </si>
  <si>
    <t>Tests rendezvous handler creation API.</t>
  </si>
  <si>
    <t>Elastic  ›  Multiprocessing</t>
  </si>
  <si>
    <t>elastic/multiprocessing/test_api.py</t>
  </si>
  <si>
    <t>Tests elastic multiprocessing API.</t>
  </si>
  <si>
    <t>ErrorsTest</t>
  </si>
  <si>
    <t>elastic/multiprocessing/test_errors.py</t>
  </si>
  <si>
    <t>Tests error handling in elastic multiprocessing.</t>
  </si>
  <si>
    <t>StartMethodTest</t>
  </si>
  <si>
    <t>elastic/multiprocessing/test_start_method.py</t>
  </si>
  <si>
    <t>Tests process start methods (spawn, fork, forkserver).</t>
  </si>
  <si>
    <t>SubprocessHandlerTest</t>
  </si>
  <si>
    <t>elastic/multiprocessing/test_subprocess_handler.py</t>
  </si>
  <si>
    <t>Tests subprocess handler functionality.</t>
  </si>
  <si>
    <t>elastic/multiprocessing/test_redirects.py</t>
  </si>
  <si>
    <t>Tests stdout/stderr redirection.</t>
  </si>
  <si>
    <t>Elastic  ›  Metrics &amp; Events</t>
  </si>
  <si>
    <t>MetricApiTest</t>
  </si>
  <si>
    <t>elastic/metrics/test_api.py</t>
  </si>
  <si>
    <t>Tests metrics API for elastic training.</t>
  </si>
  <si>
    <t>EventHandlerTest</t>
  </si>
  <si>
    <t>elastic/events/test_handlers.py</t>
  </si>
  <si>
    <t>Tests event handler functionality.</t>
  </si>
  <si>
    <t>EventTest</t>
  </si>
  <si>
    <t>elastic/events/test_api.py</t>
  </si>
  <si>
    <t>Tests event API for elastic training.</t>
  </si>
  <si>
    <t>Elastic  ›  Additional Rendezvous</t>
  </si>
  <si>
    <t>elastic/rendezvous/dynamic_rendezvous_test.py</t>
  </si>
  <si>
    <t>Tests backend rendezvous state holder.</t>
  </si>
  <si>
    <t>Tests node descriptor generator.</t>
  </si>
  <si>
    <t>Tests node descriptor.</t>
  </si>
  <si>
    <t>Tests rendezvous state management.</t>
  </si>
  <si>
    <t>Tests rendezvous timeout handling.</t>
  </si>
  <si>
    <t>Tests distributed rendezvous op executor.</t>
  </si>
  <si>
    <t>elastic/rendezvous/dynamic_rendezvous_handler_test.py</t>
  </si>
  <si>
    <t>Tests dynamic rendezvous handler from backend.</t>
  </si>
  <si>
    <t>Tests rendezvous close operation.</t>
  </si>
  <si>
    <t>Tests rendezvous exit operation.</t>
  </si>
  <si>
    <t>Tests rendezvous join operation.</t>
  </si>
  <si>
    <t>Tests rendezvous keep-alive operation.</t>
  </si>
  <si>
    <t>elastic/rendezvous/out_of_tree_rendezvous_test.py</t>
  </si>
  <si>
    <t>Tests out-of-tree rendezvous.</t>
  </si>
  <si>
    <t>elastic/rendezvous/api_test.py</t>
  </si>
  <si>
    <t>Tests rendezvous handler registry.</t>
  </si>
  <si>
    <t>Tests rendezvous parameters.</t>
  </si>
  <si>
    <t>elastic/rendezvous/c10d_rendezvous_backend_test.py</t>
  </si>
  <si>
    <t>Tests file store backend.</t>
  </si>
  <si>
    <t>Tests TCP store backend.</t>
  </si>
  <si>
    <t>elastic/rendezvous/utils_test.py</t>
  </si>
  <si>
    <t>Tests periodic timer.</t>
  </si>
  <si>
    <t>Tests rendezvous utilities.</t>
  </si>
  <si>
    <t>Elastic  ›  Additional Multiprocessing</t>
  </si>
  <si>
    <t>elastic/multiprocessing/api_test.py</t>
  </si>
  <si>
    <t>Tests run process results.</t>
  </si>
  <si>
    <t>Tests signal handling.</t>
  </si>
  <si>
    <t>Tests process starting.</t>
  </si>
  <si>
    <t>Tests standard IO handling.</t>
  </si>
  <si>
    <t>elastic/multiprocessing/tail_log_test.py</t>
  </si>
  <si>
    <t>Tests tail log functionality.</t>
  </si>
  <si>
    <t>Elastic  ›  Additional Agent</t>
  </si>
  <si>
    <t>elastic/agent/server/test/api_test.py</t>
  </si>
  <si>
    <t>Tests simple elastic agent.</t>
  </si>
  <si>
    <t>Tests recording worker events.</t>
  </si>
  <si>
    <t>Tests role instance info.</t>
  </si>
  <si>
    <t>Tests worker group management.</t>
  </si>
  <si>
    <t>Tests worker state.</t>
  </si>
  <si>
    <t>elastic/test_control_plane.py</t>
  </si>
  <si>
    <t>Tests worker server.</t>
  </si>
  <si>
    <t>cpu+cuda — mostly CPU; some tests @requires_cuda</t>
  </si>
  <si>
    <t>elastic/agent/server/test/local_elastic_agent_test.py</t>
  </si>
  <si>
    <t>Tests elastic agent integration.</t>
  </si>
  <si>
    <t>elastic/launcher/test_launch.py</t>
  </si>
  <si>
    <t>Tests elastic launch.</t>
  </si>
  <si>
    <t>Elastic  ›  Timer &amp; Utils</t>
  </si>
  <si>
    <t>elastic/timer/api_test.py</t>
  </si>
  <si>
    <t>Tests timer API.</t>
  </si>
  <si>
    <t>elastic/utils/logging_test.py</t>
  </si>
  <si>
    <t>Tests elastic logging.</t>
  </si>
  <si>
    <t>elastic/utils/util_test.py</t>
  </si>
  <si>
    <t>Tests store utilities.</t>
  </si>
  <si>
    <t>Tests general elastic utilities.</t>
  </si>
  <si>
    <t>elastic/utils/distributed_test.py</t>
  </si>
  <si>
    <t>Tests distributed utilities.</t>
  </si>
  <si>
    <t>Elastic  ›  Events &amp; Metrics</t>
  </si>
  <si>
    <t>elastic/events/lib_test.py</t>
  </si>
  <si>
    <t>Tests event construction.</t>
  </si>
  <si>
    <t>Tests rendezvous event library.</t>
  </si>
  <si>
    <t>Tests event library.</t>
  </si>
  <si>
    <t>elastic/events/error_handler_test.py</t>
  </si>
  <si>
    <t>Tests error handler retrieval.</t>
  </si>
  <si>
    <t>Tests error handler.</t>
  </si>
  <si>
    <t>elastic/metrics/api_test.py</t>
  </si>
  <si>
    <t>Tests metrics API.</t>
  </si>
  <si>
    <t>Pipeline Parallel  —  Pipeline parallelism implementations including PiPPy and scheduling strategies</t>
  </si>
  <si>
    <t>Pipeline Parallel  ›  Core</t>
  </si>
  <si>
    <t>pipelining/test_pipe.py</t>
  </si>
  <si>
    <t>Tests pipe module functionality.</t>
  </si>
  <si>
    <t>pipelining/test_microbatch.py</t>
  </si>
  <si>
    <t>Tests microbatch splitting/merging.</t>
  </si>
  <si>
    <t>device_generic(only_for=['cpu','cuda','hpu','xpu']) — instantiate_device_type_tests</t>
  </si>
  <si>
    <t>pipelining/test_schedule.py</t>
  </si>
  <si>
    <t>Tests pipeline schedule.</t>
  </si>
  <si>
    <t>cpu — FakeStore + CPU tensors</t>
  </si>
  <si>
    <t>Tests schedule utilities.</t>
  </si>
  <si>
    <t>Tests schedule CSV format.</t>
  </si>
  <si>
    <t>Tests schedule lowering.</t>
  </si>
  <si>
    <t>cpu+cuda — mostly CPU; some @requires_accelerator_dist_backend</t>
  </si>
  <si>
    <t>Tests schedule planning.</t>
  </si>
  <si>
    <t>Tests schedule validation.</t>
  </si>
  <si>
    <t>pipelining/test_backward.py</t>
  </si>
  <si>
    <t>Tests stage backward pass.</t>
  </si>
  <si>
    <t>pipelining/test_stage.py</t>
  </si>
  <si>
    <t>Tests pipeline stage creation and management.</t>
  </si>
  <si>
    <t>Tests stage negative cases.</t>
  </si>
  <si>
    <t>pipelining/test_transformer.py</t>
  </si>
  <si>
    <t>Tests pipeline with transformers.</t>
  </si>
  <si>
    <t>pipelining/test_unflatten.py</t>
  </si>
  <si>
    <t>Tests module unflattening.</t>
  </si>
  <si>
    <t>pipelining/test_schedule_multiproc.py</t>
  </si>
  <si>
    <t>Tests custom pipeline schedules.</t>
  </si>
  <si>
    <t>Tests pipeline schedule (multi-process).</t>
  </si>
  <si>
    <t>Sharded Tensor  —  ShardedTensor implementation for distributed tensor storage (legacy API)</t>
  </si>
  <si>
    <t>Sharded Tensor  ›  Core Tests</t>
  </si>
  <si>
    <t>_shard/sharded_tensor/test_sharded_tensor.py</t>
  </si>
  <si>
    <t>Tests tensor creation from parameters.</t>
  </si>
  <si>
    <t>Tests tensor creation without process group.</t>
  </si>
  <si>
    <t>cpu — CPU placements, no process group</t>
  </si>
  <si>
    <t>Tests chunked sharded tensor.</t>
  </si>
  <si>
    <t>hardcoded_cuda — ShardedTensorTestBase + @requires_nccl + .cuda()</t>
  </si>
  <si>
    <t>Tests custom ops on sharded tensor.</t>
  </si>
  <si>
    <t>Tests enumerable sharded tensor.</t>
  </si>
  <si>
    <t>Tests creating from local shards.</t>
  </si>
  <si>
    <t>Tests creating from local tensor.</t>
  </si>
  <si>
    <t>Tests sharded tensor metadata.</t>
  </si>
  <si>
    <t>Tests subgroup initialization.</t>
  </si>
  <si>
    <t>Tests shard metadata.</t>
  </si>
  <si>
    <t>Tests shard parameter.</t>
  </si>
  <si>
    <t>Tests shard tensor operations.</t>
  </si>
  <si>
    <t>_shard/sharded_tensor/test_sharded_tensor_reshard.py</t>
  </si>
  <si>
    <t>Tests resharding.</t>
  </si>
  <si>
    <t>Sharded Tensor  ›  Ops</t>
  </si>
  <si>
    <t>_shard/sharded_tensor/ops/test_binary_cmp.py</t>
  </si>
  <si>
    <t>Tests binary comparison ops.</t>
  </si>
  <si>
    <t>_shard/sharded_tensor/ops/test_init.py</t>
  </si>
  <si>
    <t>Tests NN initialization ops.</t>
  </si>
  <si>
    <t>_shard/sharded_tensor/ops/test_tensor_ops.py</t>
  </si>
  <si>
    <t>Tests tensor operations.</t>
  </si>
  <si>
    <t>_shard/sharded_tensor/ops/test_embedding.py</t>
  </si>
  <si>
    <t>Tests sharded embedding.</t>
  </si>
  <si>
    <t>_shard/sharded_tensor/ops/test_embedding_bag.py</t>
  </si>
  <si>
    <t>Tests sharded embedding bag.</t>
  </si>
  <si>
    <t>Sharded Tensor  ›  Sharding Spec &amp; Plan</t>
  </si>
  <si>
    <t>_shard/sharding_spec/test_sharding_spec.py</t>
  </si>
  <si>
    <t>Tests sharding spec.</t>
  </si>
  <si>
    <t>Tests custom sharding spec.</t>
  </si>
  <si>
    <t>_shard/sharding_plan/test_sharding_plan.py</t>
  </si>
  <si>
    <t>Tests sharding plan.</t>
  </si>
  <si>
    <t>_shard/test_sharder.py</t>
  </si>
  <si>
    <t>Tests custom sharder.</t>
  </si>
  <si>
    <t>_shard/sharded_tensor/test_logger.py</t>
  </si>
  <si>
    <t>Tests sharding spec logger.</t>
  </si>
  <si>
    <t>_shard/sharded_optim/test_sharded_optim.py</t>
  </si>
  <si>
    <t>Tests sharded optimizer.</t>
  </si>
  <si>
    <t>Tools &amp; Utilities  —  Distributed training tools, launchers, and utility functions</t>
  </si>
  <si>
    <t>Tools &amp; Utilities  ›  Launcher</t>
  </si>
  <si>
    <t>launcher/test_run.py</t>
  </si>
  <si>
    <t>Tests distributed launch functionality.</t>
  </si>
  <si>
    <t>LaunchConfigTest</t>
  </si>
  <si>
    <t>launcher/test_launch_config.py</t>
  </si>
  <si>
    <t>Tests launch configuration options.</t>
  </si>
  <si>
    <t>LaunchApiTest</t>
  </si>
  <si>
    <t>launcher/test_api.py</t>
  </si>
  <si>
    <t>Tests launcher API.</t>
  </si>
  <si>
    <t>Tools &amp; Utilities  ›  Argument Parsing</t>
  </si>
  <si>
    <t>argparse_util_test.py</t>
  </si>
  <si>
    <t>Tests distributed argument parsing utilities.</t>
  </si>
  <si>
    <t>Tools &amp; Utilities  ›  Comm Reordering</t>
  </si>
  <si>
    <t>Tests compute-comm reordering with multi-process.</t>
  </si>
  <si>
    <t>Tests bucketing for compute-comm reordering.</t>
  </si>
  <si>
    <t>Tests manual overlap bucketing configuration.</t>
  </si>
  <si>
    <t>Tools &amp; Utilities  ›  Backends</t>
  </si>
  <si>
    <t>Tests miscellaneous collective utilities.</t>
  </si>
  <si>
    <t>Distributed Optimizers  —  Distributed optimizer implementations including ZeroRedundancyOptimizer</t>
  </si>
  <si>
    <t>Distributed Optimizers  ›  ZeroRedundancyOptimizer</t>
  </si>
  <si>
    <t>ZeroRedundancyOptimizerTest</t>
  </si>
  <si>
    <t>optim/test_zero_redundancy_optimizer.py</t>
  </si>
  <si>
    <t>Tests ZeroRedundancyOptimizer core functionality.</t>
  </si>
  <si>
    <t>cpu+cuda — DistributedTestBase; nccl on cuda gloo on cpu</t>
  </si>
  <si>
    <t>ZeroRedundancyOptimizerFunctionalTest</t>
  </si>
  <si>
    <t>Tests ZeRO functional correctness.</t>
  </si>
  <si>
    <t>ZeroRedundancyOptimizerDistributedTest</t>
  </si>
  <si>
    <t>Tests ZeRO in distributed settings.</t>
  </si>
  <si>
    <t>Tests ZeRO with single rank.</t>
  </si>
  <si>
    <t>Tests ZeRO distributed operations.</t>
  </si>
  <si>
    <t>Miscellaneous  —  Other distributed tests including Data Parallel, Debug, Dynamo integration, RPC, and more</t>
  </si>
  <si>
    <t>Miscellaneous  ›  Data Parallel</t>
  </si>
  <si>
    <t>test_data_parallel.py</t>
  </si>
  <si>
    <t>Tests DataParallel module.</t>
  </si>
  <si>
    <t>hardcoded_cuda — device='cuda', TEST_MULTIGPU</t>
  </si>
  <si>
    <t>Tests DataParallel device types.</t>
  </si>
  <si>
    <t>device_generic — instantiate_device_type_tests with @onlyCUDA per-test</t>
  </si>
  <si>
    <t>Miscellaneous  ›  Debug</t>
  </si>
  <si>
    <t>DistributedDebugTest</t>
  </si>
  <si>
    <t>test_distributed_debug.py</t>
  </si>
  <si>
    <t>Tests distributed debugging tools.</t>
  </si>
  <si>
    <t>C10dDebugTest</t>
  </si>
  <si>
    <t>test_c10d_debug.py</t>
  </si>
  <si>
    <t>Tests C10d debugging utilities.</t>
  </si>
  <si>
    <t>Miscellaneous  ›  Dynamo Integration</t>
  </si>
  <si>
    <t>DistributedDynamoTest</t>
  </si>
  <si>
    <t>test_dynamo_distributed.py</t>
  </si>
  <si>
    <t>Tests Dynamo with distributed training.</t>
  </si>
  <si>
    <t>accelerator — DynamoDistributed*TestCase</t>
  </si>
  <si>
    <t>DistributedPatternMatcherTest</t>
  </si>
  <si>
    <t>test_distributed_patternmatcher.py</t>
  </si>
  <si>
    <t>Tests distributed pattern matching for Dynamo.</t>
  </si>
  <si>
    <t>DDPOptimizationsTest</t>
  </si>
  <si>
    <t>test_ddp_optimizations.py</t>
  </si>
  <si>
    <t>Tests DDP-specific Dynamo optimizations.</t>
  </si>
  <si>
    <t>Miscellaneous  ›  PyCuTe</t>
  </si>
  <si>
    <t>PyCuTeLayoutTest</t>
  </si>
  <si>
    <t>_pycute/test_layout.py</t>
  </si>
  <si>
    <t>Tests PyCuTe layout functionality.</t>
  </si>
  <si>
    <t>PyCuTeIntTupleTest</t>
  </si>
  <si>
    <t>_pycute/test_int_tuple.py</t>
  </si>
  <si>
    <t>Tests PyCuTe integer tuple operations.</t>
  </si>
  <si>
    <t>PyCuTeCopyTest</t>
  </si>
  <si>
    <t>_pycute/test_copy.py</t>
  </si>
  <si>
    <t>Tests PyCuTe copy operations.</t>
  </si>
  <si>
    <t>Miscellaneous  ›  RPC</t>
  </si>
  <si>
    <t>RpcTest</t>
  </si>
  <si>
    <t>rpc/test_rpc.py</t>
  </si>
  <si>
    <t>Tests remote procedure call functionality.</t>
  </si>
  <si>
    <t>RpcAgentTest</t>
  </si>
  <si>
    <t>rpc/test_rpc_agent.py</t>
  </si>
  <si>
    <t>Tests RPC agent behavior.</t>
  </si>
  <si>
    <t>TensorPipeAgentTest</t>
  </si>
  <si>
    <t>rpc/test_tensorpipe_agent.py</t>
  </si>
  <si>
    <t>Tests TensorPipe RPC agent.</t>
  </si>
  <si>
    <t>FaultyAgentTest</t>
  </si>
  <si>
    <t>rpc/test_faulty_agent.py</t>
  </si>
  <si>
    <t>Tests RPC faulty agent scenarios.</t>
  </si>
  <si>
    <t>ProcessGroupAgentTest</t>
  </si>
  <si>
    <t>rpc/test_process_group_agent.py</t>
  </si>
  <si>
    <t>Tests process group RPC agent.</t>
  </si>
  <si>
    <t>Miscellaneous  ›  Inductor Integration</t>
  </si>
  <si>
    <t>InductorCollectivesTest</t>
  </si>
  <si>
    <t>Tests Inductor with collective operations.</t>
  </si>
  <si>
    <t>accelerator — @requires_accelerator_dist_backend</t>
  </si>
  <si>
    <t>DDPInductorTest</t>
  </si>
  <si>
    <t>test_ddp_inductor.py</t>
  </si>
  <si>
    <t>Tests DDP with Inductor compilation.</t>
  </si>
  <si>
    <t>Miscellaneous  ›  Algorithms</t>
  </si>
  <si>
    <t>PostLocalSGDOptimizerTest</t>
  </si>
  <si>
    <t>algorithms/ddp_comm_hooks/test_post_local_sgd_optimizer.py</t>
  </si>
  <si>
    <t>Tests post-local SGD optimizer.</t>
  </si>
  <si>
    <t>QuantizationHooksTest</t>
  </si>
  <si>
    <t>algorithms/quantization/test_quantization.py</t>
  </si>
  <si>
    <t>Tests quantization communication hooks.</t>
  </si>
  <si>
    <t>cpu+cuda — @requires_gloo for CPU + @requires_nccl for CUDA</t>
  </si>
  <si>
    <t>Miscellaneous  ›  Logging &amp; Profiling</t>
  </si>
  <si>
    <t>FlightRecorderTest</t>
  </si>
  <si>
    <t>test_flight_recorder.py</t>
  </si>
  <si>
    <t>Tests flight recorder for distributed debugging.</t>
  </si>
  <si>
    <t>C10dProfilerTest</t>
  </si>
  <si>
    <t>test_c10d_profiler.py</t>
  </si>
  <si>
    <t>Tests C10d profiling functionality.</t>
  </si>
  <si>
    <t>DDPLoggingTest</t>
  </si>
  <si>
    <t>test_ddp_logging.py</t>
  </si>
  <si>
    <t>Tests DDP logging capabilities.</t>
  </si>
  <si>
    <t>Tools &amp; Utilities  ›  Additional Tools</t>
  </si>
  <si>
    <t>test_run.py</t>
  </si>
  <si>
    <t>Tests distributed run command.</t>
  </si>
  <si>
    <t>no_device — CLI arg parsing only</t>
  </si>
  <si>
    <t>test_launcher.py</t>
  </si>
  <si>
    <t>Tests distributed launch.</t>
  </si>
  <si>
    <t>no_device — pure launcher CLI test</t>
  </si>
  <si>
    <t>no_device — mocked launcher API</t>
  </si>
  <si>
    <t>Distributed Optimizers  ›  Additional Tests</t>
  </si>
  <si>
    <t>Tests ZeRO optimizer.</t>
  </si>
  <si>
    <t>accelerator — device_type=torch.accelerator.current_accelerator().type</t>
  </si>
  <si>
    <t>optim/test_named_optimizer.py</t>
  </si>
  <si>
    <t>Tests named optimizer.</t>
  </si>
  <si>
    <t>optim/test_apply_optimizer_in_backward.py</t>
  </si>
  <si>
    <t>Tests overlapped optimizer application.</t>
  </si>
  <si>
    <t>cpu — unittest.TestCase; tensors default to CPU</t>
  </si>
  <si>
    <t>Miscellaneous  ›  Additional PyCuTe</t>
  </si>
  <si>
    <t>_pycute/test_coalesce.py</t>
  </si>
  <si>
    <t>Tests PyCuTe coalesce.</t>
  </si>
  <si>
    <t>_pycute/test_complement.py</t>
  </si>
  <si>
    <t>Tests PyCuTe complement.</t>
  </si>
  <si>
    <t>_pycute/test_composition.py</t>
  </si>
  <si>
    <t>Tests PyCuTe composition.</t>
  </si>
  <si>
    <t>Tests PyCuTe integer tuple.</t>
  </si>
  <si>
    <t>_pycute/test_left_inverse.py</t>
  </si>
  <si>
    <t>Tests PyCuTe left inverse.</t>
  </si>
  <si>
    <t>_pycute/test_right_inverse.py</t>
  </si>
  <si>
    <t>Tests PyCuTe right inverse.</t>
  </si>
  <si>
    <t>_pycute/test_typing.py</t>
  </si>
  <si>
    <t>Tests PyCuTe typing.</t>
  </si>
  <si>
    <t>Miscellaneous  ›  Additional Debug &amp; Dynamo</t>
  </si>
  <si>
    <t>test_debug.py</t>
  </si>
  <si>
    <t>Tests distributed debug utilities.</t>
  </si>
  <si>
    <t>cpu+cuda — core logic CPU/TCP; if torch.cuda.is_available() branch for NCCL trace</t>
  </si>
  <si>
    <t>Tests single process dynamo.</t>
  </si>
  <si>
    <t>accelerator — DynamoDistributedSingleProcTestCase</t>
  </si>
  <si>
    <t>test_fake_distributed.py</t>
  </si>
  <si>
    <t>Tests fake distributed single process.</t>
  </si>
  <si>
    <t>test_fake_collectives.py</t>
  </si>
  <si>
    <t>Tests fake collectives.</t>
  </si>
  <si>
    <t>_tools/test_fake_collectives.py</t>
  </si>
  <si>
    <t>Tests fake collective implementations.</t>
  </si>
  <si>
    <t>Miscellaneous  ›  Additional RPC</t>
  </si>
  <si>
    <t>rpc/test_share_memory.py</t>
  </si>
  <si>
    <t>Tests RPC pickler.</t>
  </si>
  <si>
    <t>Miscellaneous  ›  Tools &amp; Estimators</t>
  </si>
  <si>
    <t>_tools/test_memory_tracker.py</t>
  </si>
  <si>
    <t>Tests memory tracker.</t>
  </si>
  <si>
    <t>accelerator — @skipIf(not torch.accelerator.is_available()), device=torch.accelerator.current_accelerator()</t>
  </si>
  <si>
    <t>_tools/test_mem_tracker.py</t>
  </si>
  <si>
    <t>Tests mem tracker.</t>
  </si>
  <si>
    <t>cpu+accelerator — accelerator tests skip on not TEST_CUDA and not TEST_XPU; some tests run on default device</t>
  </si>
  <si>
    <t>_tools/test_mod_tracker.py</t>
  </si>
  <si>
    <t>Tests mod tracker.</t>
  </si>
  <si>
    <t>_tools/test_runtime_estimator.py</t>
  </si>
  <si>
    <t>Tests runtime estimator.</t>
  </si>
  <si>
    <t>hardcoded_cuda — torch.cuda.current_device(), torch.cuda.Event, @skipIf(not TEST_CUDA)</t>
  </si>
  <si>
    <t>_tools/test_sac_estimator.py</t>
  </si>
  <si>
    <t>Tests SAC estimator.</t>
  </si>
  <si>
    <t>hardcoded_cuda — torch.cuda.current_device(), @skipIf(not TEST_CUDA)</t>
  </si>
  <si>
    <t>_tools/test_sac_ilp.py</t>
  </si>
  <si>
    <t>Tests SAC ILP solver.</t>
  </si>
  <si>
    <t>hardcoded_cuda — self.device=torch.cuda.current_device(), @skipIf(not TEST_CUDA)</t>
  </si>
  <si>
    <t>_tools/test_fsdp2_mem_tracker.py</t>
  </si>
  <si>
    <t>Tests FSDP2 tracker compose.</t>
  </si>
  <si>
    <t>accelerator — torch.accelerator.device_count(), torch.accelerator.current_device_index()</t>
  </si>
  <si>
    <t>Tests FSDP2 tracker core.</t>
  </si>
  <si>
    <t>Tests optimal checkpointing policy.</t>
  </si>
  <si>
    <t>cpu — operates on SACStats (pure Python data); @skipIf(not TEST_CUDA) gate but logic is CPU-only</t>
  </si>
  <si>
    <t>Miscellaneous  ›  C10d Backends &amp; Stores</t>
  </si>
  <si>
    <t>Tests backend creation.</t>
  </si>
  <si>
    <t>no_device — tests rendezvous with TCPStore/FileStore</t>
  </si>
  <si>
    <t>elastic/utils/data/cycling_iterator_test.py</t>
  </si>
  <si>
    <t>Tests cycling iterator.</t>
  </si>
  <si>
    <t>no_device — pure Python iterator logic</t>
  </si>
  <si>
    <t>Miscellaneous  ›  Local Tensor</t>
  </si>
  <si>
    <t>test_local_tensor.py</t>
  </si>
  <si>
    <t>Tests local tensor rank.</t>
  </si>
  <si>
    <t>cpu — init_device_mesh('cpu'), all tensors CPU, fake PG</t>
  </si>
  <si>
    <t>Tests local tensor base.</t>
  </si>
  <si>
    <t>Tests local tensor world.</t>
  </si>
  <si>
    <t>Tests local tensor (world_size=2).</t>
  </si>
  <si>
    <t>cpu — init_device_mesh('cpu') fake PG</t>
  </si>
  <si>
    <t>Tests local tensor rank (world_size=2).</t>
  </si>
  <si>
    <t>Tests local tensor rank (world_size=3).</t>
  </si>
  <si>
    <t>Tests local tensor (world_size=3).</t>
  </si>
  <si>
    <t>Tests local tensor (world_size=4).</t>
  </si>
  <si>
    <t>Tests local tensor (world_size=8).</t>
  </si>
  <si>
    <t>Tests local tensor runner.</t>
  </si>
  <si>
    <t>Miscellaneous  ›  Serialization &amp; Other</t>
  </si>
  <si>
    <t>Tests distributed serialization.</t>
  </si>
  <si>
    <t>cpu+cuda — most tests CPU; test_cuda gated by @requires_cuda, hardcodes cuda:0</t>
  </si>
  <si>
    <t>Tests distributed wrapper.</t>
  </si>
  <si>
    <t>checkpoint/e2e/test_fsdp_ep.py</t>
  </si>
  <si>
    <t>Tests FSDP with expert parallelism.</t>
  </si>
  <si>
    <t>Tests no-communication mode.</t>
  </si>
  <si>
    <t>accelerator — module-level device_type via torch.accelerator.current_accelerator()</t>
  </si>
  <si>
    <t>Tests no-CPU mode.</t>
  </si>
  <si>
    <t>hardcoded_cuda — extends DTensorTestBase but hardcodes backend='nccl'</t>
  </si>
  <si>
    <t>Tests multi-process utilities.</t>
  </si>
  <si>
    <t>checkpoint/test_nested_dict.py</t>
  </si>
  <si>
    <t>Tests tensor flattening.</t>
  </si>
  <si>
    <t>cpu — TestCase; tensors default to CPU</t>
  </si>
  <si>
    <t>Tests module hook API.</t>
  </si>
  <si>
    <t>hardcoded_cuda — ShardedTensorTestBase + nccl + torch.cuda.set_device, placements rank:X/cuda:X</t>
  </si>
  <si>
    <t>Tests tensor coalescing.</t>
  </si>
  <si>
    <t>no_device — pure integer shape/stride math</t>
  </si>
  <si>
    <t>Tests process group init info.</t>
  </si>
  <si>
    <t>Tests state dict preparation.</t>
  </si>
  <si>
    <t>cpu — TestCase; explicit torch.device('cpu')</t>
  </si>
  <si>
    <t>Tests tensor preparation.</t>
  </si>
  <si>
    <t>cpu — TestCase; default CPU tensors</t>
  </si>
  <si>
    <t>Tests metadata index utilities.</t>
  </si>
  <si>
    <t>no_device — pure Python metadata logic</t>
  </si>
  <si>
    <t>checkpoint/_experimental/test_builder.py</t>
  </si>
  <si>
    <t>Tests make checkpointer builder.</t>
  </si>
  <si>
    <t>cpu — model/tensors on CPU; torch.accelerator.is_available() only for config flags</t>
  </si>
  <si>
    <t>nn/jit/test_instantiator.py</t>
  </si>
  <si>
    <t>Tests NN JIT instantiator.</t>
  </si>
  <si>
    <t>no_device — pure JIT interface inspection</t>
  </si>
  <si>
    <t>Review PoC</t>
  </si>
  <si>
    <t>Dynamo Core — Graph capture, tracing, bytecode analysis, and compilation pipeline</t>
  </si>
  <si>
    <t>Dynamo Core › Miscellaneous</t>
  </si>
  <si>
    <t>MiscTests</t>
  </si>
  <si>
    <t>test_misc.py</t>
  </si>
  <si>
    <t>Large suite (~542 tests) covering core dynamo tracing: closures, global variables, type handling, tensor operations, nn.Module tracing, control flow, dynamic shapes, and compilation correctness.</t>
  </si>
  <si>
    <t>No instantiate_device_type_tests; tests run on default device (CPU)</t>
  </si>
  <si>
    <t>https://github.com/pytorch/pytorch/pull/180374</t>
  </si>
  <si>
    <t>MiscTestsPyTree</t>
  </si>
  <si>
    <t>Tests dynamo tracing of pytree operations including tree_map, tree_flatten, and tree_unflatten under compilation.</t>
  </si>
  <si>
    <t>No instantiate_device_type_tests</t>
  </si>
  <si>
    <t>MiscTestsDevice</t>
  </si>
  <si>
    <t>Device-specific miscellaneous dynamo tests covering CUDA-specific tracing behavior.</t>
  </si>
  <si>
    <t>instantiate_device_type_tests with only_for=("cuda", "hpu", "xpu")</t>
  </si>
  <si>
    <t>TestTracer</t>
  </si>
  <si>
    <t>Tests the JIT tracer integration with dynamo.</t>
  </si>
  <si>
    <t>Inherits JitTestCase</t>
  </si>
  <si>
    <t>TestCustomFunction</t>
  </si>
  <si>
    <t>Tests compilation of custom torch.autograd.Function.</t>
  </si>
  <si>
    <t>DynamoOpPromotionTests</t>
  </si>
  <si>
    <t>Tests type promotion behavior for ops under dynamo compilation.</t>
  </si>
  <si>
    <t>mixed(some_cuda) — 5/6 methods require CUDA</t>
  </si>
  <si>
    <t>Dynamo Core › Functions</t>
  </si>
  <si>
    <t>FunctionTests</t>
  </si>
  <si>
    <t>test_functions.py</t>
  </si>
  <si>
    <t xml:space="preserve">Large suite (~296 tests) covering dynamo's handling of Python function features: closures, default args, *args/**kwargs, decorators, nested functions, recursion, and built-in function tracing. </t>
  </si>
  <si>
    <t>no_device (2 decorated cuda + 1 inline / 382)</t>
  </si>
  <si>
    <t>Uses TestCaseWithNestedGraphBreaks</t>
  </si>
  <si>
    <t>https://github.com/pytorch/pytorch/pull/180344</t>
  </si>
  <si>
    <t>DefaultsTests</t>
  </si>
  <si>
    <t>Tests handling of function default arguments, mutable defaults, and default argument specialization under dynamo.</t>
  </si>
  <si>
    <t>Dynamo Core › Comprehensions</t>
  </si>
  <si>
    <t>ComprehensionTests</t>
  </si>
  <si>
    <t>test_comprehensions.py</t>
  </si>
  <si>
    <t>Tests dynamo tracing of list/dict/set comprehensions, generator expressions, and nested comprehensions.</t>
  </si>
  <si>
    <t>Dynamo Core › Decorators</t>
  </si>
  <si>
    <t>DecoratorTests</t>
  </si>
  <si>
    <t>test_decorators.py</t>
  </si>
  <si>
    <t>Tests dynamo's handling of Python decorators: @staticmethod, @classmethod, @property, functools.wraps, and custom decorators.</t>
  </si>
  <si>
    <t>Inherits PytreeRegisteringTestCase</t>
  </si>
  <si>
    <t>Dynamo Core › Bytecode</t>
  </si>
  <si>
    <t>BytecodeTests</t>
  </si>
  <si>
    <t>test_bytecode_utils.py</t>
  </si>
  <si>
    <t>Tests bytecode transformation utilities: instruction manipulation, jump target rewriting, and Python bytecode analysis.</t>
  </si>
  <si>
    <t>BytecodeHookTests</t>
  </si>
  <si>
    <t>Tests bytecode transformation hooks in dynamo.</t>
  </si>
  <si>
    <t>Dynamo Core › Frame Initialization</t>
  </si>
  <si>
    <t>FrameInitTests</t>
  </si>
  <si>
    <t>test_frame_init.py</t>
  </si>
  <si>
    <t>Tests frame initialization behavior when dynamo enters a new Python frame.</t>
  </si>
  <si>
    <t>Dynamo Core › Resume Functions</t>
  </si>
  <si>
    <t>ResumeFunctionTests</t>
  </si>
  <si>
    <t>test_resume.py</t>
  </si>
  <si>
    <t>Tests dynamo's resume-after-graph-break function generation.</t>
  </si>
  <si>
    <t>Dynamo Core › Trace Rules</t>
  </si>
  <si>
    <t>TraceRuleTests</t>
  </si>
  <si>
    <t>test_trace_rules.py</t>
  </si>
  <si>
    <t>Tests dynamo's skip/trace rules for modules, functions, and built-in operations.</t>
  </si>
  <si>
    <t>TestModuleSurviveSkipFiles</t>
  </si>
  <si>
    <t>Tests that modules survive dynamo's skip-file rules when appropriate.</t>
  </si>
  <si>
    <t>SingleOpCompileTests</t>
  </si>
  <si>
    <t>Tests compilation of individual ops through dynamo.</t>
  </si>
  <si>
    <t>Dynamo Core › Sources</t>
  </si>
  <si>
    <t>SourceTests</t>
  </si>
  <si>
    <t>test_sources.py</t>
  </si>
  <si>
    <t>Tests dynamo's source tracking (LocalSource, AttrSource, etc.) for reconstructing Python objects.</t>
  </si>
  <si>
    <t>Dynamo Core › Nops</t>
  </si>
  <si>
    <t>NopTests</t>
  </si>
  <si>
    <t>test_nops.py</t>
  </si>
  <si>
    <t>Tests dynamo's handling of no-op instructions in Python bytecode.</t>
  </si>
  <si>
    <t>Dynamo Core › Graph Deduplication</t>
  </si>
  <si>
    <t>GraphDededuplicationTests</t>
  </si>
  <si>
    <t>test_graph_deduplication.py</t>
  </si>
  <si>
    <t>Tests deduplication of repeated subgraph patterns during compilation.</t>
  </si>
  <si>
    <t>Dynamo Core › Graph Region Tracker</t>
  </si>
  <si>
    <t>GraphRegionTrackerTests</t>
  </si>
  <si>
    <t>test_graph_region_tracker.py</t>
  </si>
  <si>
    <t>Tests tracking of graph regions for regional compilation and graph break analysis.</t>
  </si>
  <si>
    <t>Dynamo Core › Inline and Install</t>
  </si>
  <si>
    <t>InstallParamsAsGraphAttrTests</t>
  </si>
  <si>
    <t>test_install_free_tensors.py</t>
  </si>
  <si>
    <t>Tests installation of free tensor parameters as graph attributes during tracing.</t>
  </si>
  <si>
    <t>InstallParamsWhenExport</t>
  </si>
  <si>
    <t>Tests parameter installation behavior in export mode.</t>
  </si>
  <si>
    <t>1 reference to torch.backends.cuda.matmul</t>
  </si>
  <si>
    <t>Dynamo Core › Flat Apply</t>
  </si>
  <si>
    <t>FlatApplyTests</t>
  </si>
  <si>
    <t>test_flat_apply.py</t>
  </si>
  <si>
    <t>Tests flat_apply utility for flattening pytree inputs, applying a function, and unflattening results.</t>
  </si>
  <si>
    <t>TestInputOutput</t>
  </si>
  <si>
    <t>Tests input/output handling for flat_apply operations.</t>
  </si>
  <si>
    <t>Dynamo Core — Guards, Recompilation, and Specialization</t>
  </si>
  <si>
    <t>Guards › Guard Manager</t>
  </si>
  <si>
    <t>GuardManagerTests</t>
  </si>
  <si>
    <t>test_guard_manager.py</t>
  </si>
  <si>
    <t>Tests the guard manager: guard installation, evaluation, guard types (TENSOR_MATCH, TYPE_MATCH, etc.), and guard failure reporting.</t>
  </si>
  <si>
    <t>no_device (2 tests that use cuda)</t>
  </si>
  <si>
    <t>https://github.com/pytorch/pytorch/pull/179120</t>
  </si>
  <si>
    <t>TypePropagationTests</t>
  </si>
  <si>
    <t>Tests type propagation through the guard system.</t>
  </si>
  <si>
    <t>DuplicateGuardTest</t>
  </si>
  <si>
    <t>Tests deduplication of redundant guards.</t>
  </si>
  <si>
    <t>RecursiveDictTagTests</t>
  </si>
  <si>
    <t>Tests recursive dict tagging for guard tracking.</t>
  </si>
  <si>
    <t>TagSafetyChecks</t>
  </si>
  <si>
    <t>Safety checks for the recursive dict tag system.</t>
  </si>
  <si>
    <t>RecursiveDictGuardTests</t>
  </si>
  <si>
    <t>Tests guards on recursive dict structures.</t>
  </si>
  <si>
    <t>Guards › Guard Serialization</t>
  </si>
  <si>
    <t>TestGuardSerialization</t>
  </si>
  <si>
    <t>test_guard_serialization.py</t>
  </si>
  <si>
    <t>Tests serialization and deserialization of guards for caching across compilations.</t>
  </si>
  <si>
    <t>Inherits InductorTestCase, 1 method with CUDA stream</t>
  </si>
  <si>
    <t>https://github.com/pytorch/pytorch/pull/178736</t>
  </si>
  <si>
    <t>Guards › Recompilation</t>
  </si>
  <si>
    <t>RecompileTests</t>
  </si>
  <si>
    <t>test_recompiles.py</t>
  </si>
  <si>
    <t>Tests dynamo recompilation triggers: shape changes, dtype changes, guard failures, and recompilation limits.</t>
  </si>
  <si>
    <t>RecompileUxTests</t>
  </si>
  <si>
    <t>test_recompile_ux.py</t>
  </si>
  <si>
    <t>Tests recompilation UX: warning messages, recompile reasons, and diagnostic output.</t>
  </si>
  <si>
    <t>Guards › Skip Guard Eval</t>
  </si>
  <si>
    <t>RunDiffGuardTests</t>
  </si>
  <si>
    <t>test_skip_guard_eval_unsafe.py</t>
  </si>
  <si>
    <t>Tests unsafe guard evaluation skipping for performance optimization.</t>
  </si>
  <si>
    <t>Guards › Unspecialized</t>
  </si>
  <si>
    <t>UnspecTests</t>
  </si>
  <si>
    <t>test_unspec.py</t>
  </si>
  <si>
    <t>Tests unspecialized variable handling: int/float specialization, dynamic shapes, and symbolic reasoning.</t>
  </si>
  <si>
    <t>Main class has no IDT; 1 CUDA-decorated method out of 50</t>
  </si>
  <si>
    <t>https://github.com/pytorch/pytorch/pull/180328</t>
  </si>
  <si>
    <t>UnspecTestsDevice</t>
  </si>
  <si>
    <t>Device-specific unspecialized variable tests.</t>
  </si>
  <si>
    <t>Guards › Input Attr Tracking</t>
  </si>
  <si>
    <t>TestInputAttrTracking</t>
  </si>
  <si>
    <t>test_input_attr_tracking.py</t>
  </si>
  <si>
    <t>Tests tracking of input tensor attributes (shape, stride, dtype, device) for guard generation.</t>
  </si>
  <si>
    <t>Guards › Skip Non-Tensor</t>
  </si>
  <si>
    <t>SkipNonTensorTests</t>
  </si>
  <si>
    <t>test_skip_non_tensor.py</t>
  </si>
  <si>
    <t>Tests dynamo's handling of non-tensor inputs and skipping non-tensor operations.</t>
  </si>
  <si>
    <t>Guards › Check Type ID</t>
  </si>
  <si>
    <t>TestCheckTypeId</t>
  </si>
  <si>
    <t>test_check_type_id.py</t>
  </si>
  <si>
    <t>Tests the check_type_id guard primitive for type identity checks.</t>
  </si>
  <si>
    <t>Python Language Features — Data structures, control flow, and Python semantics</t>
  </si>
  <si>
    <t>Data Structures › Dicts</t>
  </si>
  <si>
    <t>DictTests</t>
  </si>
  <si>
    <t>test_dicts.py</t>
  </si>
  <si>
    <t>Tests dynamo's handling of dict operations: creation, mutation, iteration, dict comprehensions, and special dict methods.</t>
  </si>
  <si>
    <t>DictGuardTests</t>
  </si>
  <si>
    <t>Tests guard generation for dict operations and mutations.</t>
  </si>
  <si>
    <t>DictMethodsTests</t>
  </si>
  <si>
    <t>Tests tracing of dict methods: get, pop, update, items, keys, values, etc.</t>
  </si>
  <si>
    <t>DictSubclassMethodsTests</t>
  </si>
  <si>
    <t>Tests dict subclass method tracing (inherits DictMethodsTests).</t>
  </si>
  <si>
    <t>OrderedDictMethodsTests</t>
  </si>
  <si>
    <t>Tests OrderedDict-specific method tracing.</t>
  </si>
  <si>
    <t>OrderedDictSubclassOverload</t>
  </si>
  <si>
    <t>Tests OrderedDict subclass overloads under dynamo.</t>
  </si>
  <si>
    <t>Data Structures › Lists and Tuples</t>
  </si>
  <si>
    <t>TupleTests</t>
  </si>
  <si>
    <t>test_list.py</t>
  </si>
  <si>
    <t>Tests dynamo's handling of tuple operations: creation, indexing, slicing, and tuple methods.</t>
  </si>
  <si>
    <t>ListTests</t>
  </si>
  <si>
    <t>Tests dynamo's handling of list operations: creation, mutation, append, extend, and list comprehensions.</t>
  </si>
  <si>
    <t>Inherits TupleTests</t>
  </si>
  <si>
    <t>Data Structures › Sets</t>
  </si>
  <si>
    <t>_BaseSetTests</t>
  </si>
  <si>
    <t>test_sets.py</t>
  </si>
  <si>
    <t>Base class for set operation tests under dynamo (abstract).</t>
  </si>
  <si>
    <t>SetTests</t>
  </si>
  <si>
    <t>Tests dynamo tracing of set operations: add, remove, union, intersection, difference.</t>
  </si>
  <si>
    <t>FrozensetTests</t>
  </si>
  <si>
    <t>Tests frozenset operations under dynamo tracing.</t>
  </si>
  <si>
    <t>CustomSetTests</t>
  </si>
  <si>
    <t>Tests user-defined set subclass behavior under dynamo.</t>
  </si>
  <si>
    <t>UserDefinedSetTests</t>
  </si>
  <si>
    <t>Tests user-defined mutable set subclass tracing.</t>
  </si>
  <si>
    <t>UserDefinedFrozensetTests</t>
  </si>
  <si>
    <t>Tests user-defined frozenset subclass tracing.</t>
  </si>
  <si>
    <t>OrderedSetTests</t>
  </si>
  <si>
    <t>Tests OrderedSet operations under dynamo.</t>
  </si>
  <si>
    <t>MiscTests (sets)</t>
  </si>
  <si>
    <t>Miscellaneous set-related tests.</t>
  </si>
  <si>
    <t>TestSetGuards</t>
  </si>
  <si>
    <t>Tests guard generation for set operations.</t>
  </si>
  <si>
    <t>Data Structures › Deque</t>
  </si>
  <si>
    <t>TestDequeReconstruct</t>
  </si>
  <si>
    <t>test_deque_reconstruct.py</t>
  </si>
  <si>
    <t>Tests reconstruction of collections.deque objects after graph breaks.</t>
  </si>
  <si>
    <t>Data Structures › Enums</t>
  </si>
  <si>
    <t>EnumTests</t>
  </si>
  <si>
    <t>test_enum.py</t>
  </si>
  <si>
    <t>Tests dynamo's handling of Python enums: access, comparison, iteration, and IntEnum/StrEnum variants.</t>
  </si>
  <si>
    <t>Control Flow › Exceptions</t>
  </si>
  <si>
    <t>ExceptionTests</t>
  </si>
  <si>
    <t>test_exceptions.py</t>
  </si>
  <si>
    <t>Tests dynamo's handling of try/except/finally, raise, and exception propagation under tracing.</t>
  </si>
  <si>
    <t>ExcTests</t>
  </si>
  <si>
    <t>test_exc.py</t>
  </si>
  <si>
    <t>Tests exception handling edge cases and logging behavior under dynamo.</t>
  </si>
  <si>
    <t>Control Flow › Context Managers</t>
  </si>
  <si>
    <t>CtxManagerTests</t>
  </si>
  <si>
    <t>test_ctx_manager.py</t>
  </si>
  <si>
    <t>Tests dynamo tracing through context managers: with statements, torch.no_grad, torch.enable_grad, and nested contexts.</t>
  </si>
  <si>
    <t>mixed(some_cuda) — 18/62 methods require CUDA (stream tests)</t>
  </si>
  <si>
    <r>
      <rPr>
        <rFont val="Arial"/>
      </rPr>
      <t>https://github.c</t>
    </r>
    <r>
      <rPr>
        <rFont val="Arial"/>
        <color rgb="FF1155CC"/>
        <u/>
      </rPr>
      <t>om/pytorch/pytorch/pull/181521</t>
    </r>
    <r>
      <rPr>
        <rFont val="Arial"/>
      </rPr>
      <t xml:space="preserve">, </t>
    </r>
    <r>
      <rPr>
        <rFont val="Arial"/>
        <color rgb="FF1155CC"/>
        <u/>
      </rPr>
      <t>https://github.com/pytorch/pytorch/pull/181522</t>
    </r>
  </si>
  <si>
    <t>ContextlibContextManagerTests</t>
  </si>
  <si>
    <t>Tests contextlib.contextmanager decorated functions under dynamo.</t>
  </si>
  <si>
    <t>https://github.com/pytorch/pytorch/pull/181523</t>
  </si>
  <si>
    <t>TestExitStack</t>
  </si>
  <si>
    <t>test_exitstack.py</t>
  </si>
  <si>
    <t>Tests contextlib.ExitStack behavior under dynamo tracing.</t>
  </si>
  <si>
    <t>Control Flow › Generators</t>
  </si>
  <si>
    <t>GeneratorTests</t>
  </si>
  <si>
    <t>test_generator.py</t>
  </si>
  <si>
    <t>Tests dynamo's handling of Python generators: yield, send, close, and throw operations.</t>
  </si>
  <si>
    <t>TestGeneratorSend</t>
  </si>
  <si>
    <t>Tests generator.send() under dynamo compilation.</t>
  </si>
  <si>
    <t>TestGeneratorClose</t>
  </si>
  <si>
    <t>Tests generator.close() under dynamo compilation.</t>
  </si>
  <si>
    <t>TestGeneratorThrow</t>
  </si>
  <si>
    <t>Tests generator.throw() under dynamo compilation.</t>
  </si>
  <si>
    <t>Control Flow › Globals</t>
  </si>
  <si>
    <t>TestGlobals</t>
  </si>
  <si>
    <t>test_global.py</t>
  </si>
  <si>
    <t>Tests dynamo's handling of global variables: reads, writes, global mutations, and guard invalidation.</t>
  </si>
  <si>
    <t>Control Flow › Lazy Constants</t>
  </si>
  <si>
    <t>LazyConstantVariableTests</t>
  </si>
  <si>
    <t>test_lazy_constant.py</t>
  </si>
  <si>
    <t>Tests lazy constant variable tracking and specialization in dynamo.</t>
  </si>
  <si>
    <t>Compilation Pipeline — Backends, export, AOT compilation, and optimization</t>
  </si>
  <si>
    <t>Backends › Backend Selection</t>
  </si>
  <si>
    <t>TestOptimizations</t>
  </si>
  <si>
    <t>Tests various dynamo backends (eager, aot_eager, inductor) and backend fallback behavior.</t>
  </si>
  <si>
    <t>instantiate_device_type_tests with only_for=("cpu", "cuda", "hpu", "xpu")</t>
  </si>
  <si>
    <t>https://github.com/pytorch/pytorch/pull/178146</t>
  </si>
  <si>
    <t>NormalizeIRTests</t>
  </si>
  <si>
    <t>Tests IR normalization passes applied to captured graphs.</t>
  </si>
  <si>
    <t>MPSSupportedTest</t>
  </si>
  <si>
    <t>Tests MPS backend support detection.</t>
  </si>
  <si>
    <t>TestExplainWithBackend</t>
  </si>
  <si>
    <t>Tests torch._dynamo.explain() with various backends.</t>
  </si>
  <si>
    <t>TestCustomBackendAPI</t>
  </si>
  <si>
    <t>Tests the custom backend registration API.</t>
  </si>
  <si>
    <t>Backends › Compiler Bisector</t>
  </si>
  <si>
    <t>TestCompilerBisector</t>
  </si>
  <si>
    <t>test_compiler_bisector.py</t>
  </si>
  <si>
    <t>Tests the compiler bisector tool for isolating compilation failures across subgraphs.</t>
  </si>
  <si>
    <t>hardcoded_cuda — class-level @requires_cuda_and_triton</t>
  </si>
  <si>
    <t>https://github.com/pytorch/pytorch/pull/185131</t>
  </si>
  <si>
    <t>Backends › Verify Correctness</t>
  </si>
  <si>
    <t>TestVerifyCorrectness</t>
  </si>
  <si>
    <t>test_verify_correctness.py</t>
  </si>
  <si>
    <t>Tests verify_correctness mode that checks compiled output against eager execution.</t>
  </si>
  <si>
    <t>Export</t>
  </si>
  <si>
    <t>ExportTests</t>
  </si>
  <si>
    <t>test_export.py</t>
  </si>
  <si>
    <t>Large suite (~146 tests) for torch.export: graph capture, constraints, dynamic shapes, serialization, and export-specific tracing behavior.</t>
  </si>
  <si>
    <t>ExportTestsDevice</t>
  </si>
  <si>
    <t>Device-specific export tests.</t>
  </si>
  <si>
    <t>instantiate_device_type_tests with only_for=("cuda", "hpu")</t>
  </si>
  <si>
    <r>
      <rPr>
        <color rgb="FF1155CC"/>
        <u/>
      </rPr>
      <t>https://github.com/pytorch/pytorch/pull/178058/</t>
    </r>
  </si>
  <si>
    <t>MutationExportTests</t>
  </si>
  <si>
    <t>test_export_mutations.py</t>
  </si>
  <si>
    <t>Tests export behavior with input and buffer mutations.</t>
  </si>
  <si>
    <t>PreDispatchTests</t>
  </si>
  <si>
    <t>test_pre_dispatch.py</t>
  </si>
  <si>
    <t>Tests pre-dispatch tracing mode for export.</t>
  </si>
  <si>
    <t>AOT Compilation</t>
  </si>
  <si>
    <t>M</t>
  </si>
  <si>
    <t>AotAutogradFallbackTests</t>
  </si>
  <si>
    <t>test_aot_autograd.py</t>
  </si>
  <si>
    <t>Tests AOT Autograd fallback paths: partitioning failures, recomputation, and error handling.</t>
  </si>
  <si>
    <t>Inherits InductorTestCase</t>
  </si>
  <si>
    <t>TestAOTCompile</t>
  </si>
  <si>
    <t>test_aot_compile.py</t>
  </si>
  <si>
    <t>Tests AOT compilation pipeline: aot_compile, serialization, loading, and Triton kernel packaging.</t>
  </si>
  <si>
    <t>Inherits InductorTestCase; most tests require CUDA</t>
  </si>
  <si>
    <t>Zhengxu Chen</t>
  </si>
  <si>
    <t>No refactoring required. ~33/39 tests are already device-agnostic (CPU-only, backend="eager" or custom backends). The 5 GPU-gated tests are compiler-infrastructure tests tied to Inductor + Triton codegen (AOTI artifact generation), not device-dispatch tests — they cannot be made device-agnostic without the out-of-tree backend implementing an Inductor codegen backend. Already partially refactored upstream (PR #178385, March 2026) to use GPU_TYPE/HAS_GPU for XPU support. TestTritonKernelSerialization is a pure Python mock test with no device usage. No further action needed.</t>
  </si>
  <si>
    <t>TestTritonKernelSerialization</t>
  </si>
  <si>
    <t>Tests serialization of Triton kernels in the AOT compilation pipeline.</t>
  </si>
  <si>
    <t>AOT Autograd Cache</t>
  </si>
  <si>
    <t>AOTAutogradCacheTests</t>
  </si>
  <si>
    <t>test_aot_autograd_cache.py</t>
  </si>
  <si>
    <t>Tests AOT Autograd caching: cache hits/misses, invalidation, and bundled inputs.</t>
  </si>
  <si>
    <t>mixed(some_cuda)</t>
  </si>
  <si>
    <t>Inherits InductorTestCase; 12 out of 44 methods require CUDA</t>
  </si>
  <si>
    <t>Tugsbayasgalan (Tugsuu) Manlaibaatar</t>
  </si>
  <si>
    <t>https://github.com/pytorch/pytorch/pull/185207</t>
  </si>
  <si>
    <t>AOTAutogradCacheBundledTests</t>
  </si>
  <si>
    <t>Tests bundled AOT Autograd cache behavior (inherits AOTAutogradCacheTests).</t>
  </si>
  <si>
    <t>Inherits AOTAutogradCacheTests</t>
  </si>
  <si>
    <t>AOTAutogradCachePicklerTests</t>
  </si>
  <si>
    <t>Tests pickling/unpickling of AOT Autograd cache entries.</t>
  </si>
  <si>
    <t>HOPCacheTests</t>
  </si>
  <si>
    <t>Tests caching behavior for higher-order op compilations.</t>
  </si>
  <si>
    <t>Precompile Context</t>
  </si>
  <si>
    <t>PrecompileContextTests</t>
  </si>
  <si>
    <t>test_precompile_context.py</t>
  </si>
  <si>
    <t>Tests precompile context for caching compilation artifacts.</t>
  </si>
  <si>
    <t>Guard Serialization</t>
  </si>
  <si>
    <t>Tests serialization and deserialization of compilation guards.</t>
  </si>
  <si>
    <t>PGO</t>
  </si>
  <si>
    <t>PgoTest</t>
  </si>
  <si>
    <t>test_pgo.py</t>
  </si>
  <si>
    <t>Tests Profile-Guided Optimization: profiling, shape specialization, and PGO-driven compilation decisions.</t>
  </si>
  <si>
    <t>torch.compile API — User-facing compilation interface and options</t>
  </si>
  <si>
    <t>Compile API</t>
  </si>
  <si>
    <t>InPlaceCompilationTests</t>
  </si>
  <si>
    <t>test_compile.py</t>
  </si>
  <si>
    <t>Tests in-place compilation scenarios: model.compile(), compiled module re-use, and compilation options.</t>
  </si>
  <si>
    <t>PublicTorchCompilerTests</t>
  </si>
  <si>
    <t>Tests the public torch.compiler API surface.</t>
  </si>
  <si>
    <t>Compile › Comptime</t>
  </si>
  <si>
    <t>ComptimeTests</t>
  </si>
  <si>
    <t>test_comptime.py</t>
  </si>
  <si>
    <t>Tests comptime (compile-time) utilities: assertions, prints, and graph inspection at compile time.</t>
  </si>
  <si>
    <t>Compile › Config</t>
  </si>
  <si>
    <t>ConfigTests</t>
  </si>
  <si>
    <t>test_config.py</t>
  </si>
  <si>
    <t>Tests dynamo configuration: config patching, environment variable overrides, and config validation.</t>
  </si>
  <si>
    <t>Compile › Package</t>
  </si>
  <si>
    <t>TestPackage</t>
  </si>
  <si>
    <t>test_package.py</t>
  </si>
  <si>
    <t>Tests torch.package integration with dynamo compilation and serialization.</t>
  </si>
  <si>
    <t>Inherits InductorTestCase; 14/15 methods require CUDA</t>
  </si>
  <si>
    <t>Autograd and Higher-Order Ops — Autograd integration, HOPs, and functorch</t>
  </si>
  <si>
    <t>Autograd Functions</t>
  </si>
  <si>
    <t>AutogradFunctionTests</t>
  </si>
  <si>
    <t>test_autograd_function.py</t>
  </si>
  <si>
    <t>Tests dynamo's handling of custom torch.autograd.Function: forward, backward, apply, and ctx usage.</t>
  </si>
  <si>
    <t>AutogradFunctionFunctorchTests</t>
  </si>
  <si>
    <t>Tests functorch transforms (vmap/grad) applied to custom autograd functions under dynamo.</t>
  </si>
  <si>
    <t>TestPythonAutograd</t>
  </si>
  <si>
    <t>test_python_autograd.py</t>
  </si>
  <si>
    <t>Tests Python-level autograd operations under dynamo compilation.</t>
  </si>
  <si>
    <t>Higher-Order Ops</t>
  </si>
  <si>
    <t>HigherOrderOpTests</t>
  </si>
  <si>
    <t>test_higher_order_ops.py</t>
  </si>
  <si>
    <t>Tests higher-order ops: torch.cond, torch.while_loop, map, and custom HOPs under dynamo tracing.</t>
  </si>
  <si>
    <t>2 CUDA decorated methods</t>
  </si>
  <si>
    <t>https://github.com/pytorch/pytorch/pull/179223</t>
  </si>
  <si>
    <t>HigherOrderOpVmapGuardTests</t>
  </si>
  <si>
    <t>Tests guard behavior for vmap higher-order ops.</t>
  </si>
  <si>
    <t>FuncTorchHigherOrderOpTests</t>
  </si>
  <si>
    <t>Tests functorch HOPs (vmap, grad, jvp) under dynamo.</t>
  </si>
  <si>
    <t>ActivationCheckpointingTests (HOPs)</t>
  </si>
  <si>
    <t>Tests activation checkpointing as a higher-order op under dynamo.</t>
  </si>
  <si>
    <t>6/14 methods require CUDA</t>
  </si>
  <si>
    <t>Yidi Wu</t>
  </si>
  <si>
    <t>TestHigherOrderOpsOpInfo</t>
  </si>
  <si>
    <t>Tests higher-order ops using OpInfo-based parametrized tests.</t>
  </si>
  <si>
    <t>instantiate_device_type_tests with only_for=("cuda")</t>
  </si>
  <si>
    <t>Backward HOPs</t>
  </si>
  <si>
    <t>BackwardHigherOrderOpTests</t>
  </si>
  <si>
    <t>test_backward_higher_order_ops.py</t>
  </si>
  <si>
    <t>Tests backward pass through higher-order ops.</t>
  </si>
  <si>
    <t>￼ Post findings</t>
  </si>
  <si>
    <t>BaseHOPTest</t>
  </si>
  <si>
    <t>test_base_hop.py</t>
  </si>
  <si>
    <t>Tests base HOP infrastructure and registration.</t>
  </si>
  <si>
    <t>Activation Checkpointing and Offloading</t>
  </si>
  <si>
    <t>Activation Checkpointing</t>
  </si>
  <si>
    <t>ActivationCheckpointingViaTagsTests</t>
  </si>
  <si>
    <t>test_activation_checkpointing.py</t>
  </si>
  <si>
    <t>Tests activation checkpointing via tagging: SAC (Selective Activation Checkpointing), recomputation policy, and memory savings.</t>
  </si>
  <si>
    <t>instantiate_device_type_tests with only_for=("cuda", "hpu"); 32/36 methods require CUDA</t>
  </si>
  <si>
    <t>Simon Fan</t>
  </si>
  <si>
    <t>https://github.com/pytorch/pytorch/pull/178058</t>
  </si>
  <si>
    <t>RematerializeACNodesPassTests</t>
  </si>
  <si>
    <t>Tests the rematerialization pass for activation checkpointing nodes in the graph.</t>
  </si>
  <si>
    <t>Activation Offloading</t>
  </si>
  <si>
    <t>ActivationOffloadingTests</t>
  </si>
  <si>
    <t>test_activation_offloading.py</t>
  </si>
  <si>
    <t>Tests activation offloading to CPU during forward pass for memory savings.</t>
  </si>
  <si>
    <t>HAS_GPU</t>
  </si>
  <si>
    <t>requires CUDA or XPU</t>
  </si>
  <si>
    <t>No refactoring required. Already fully device-agnostic — uses HAS_GPU skip gate and GPU_TYPE for all device references. Zero hardcoded CUDA strings. Will run on any Triton-capable accelerator (CUDA or XPU) as-is.</t>
  </si>
  <si>
    <t>DefaultPartitionerActivationOffloadingTests</t>
  </si>
  <si>
    <t>Tests activation offloading with the default min-cut partitioner.</t>
  </si>
  <si>
    <t>Requires CUDA or XPU</t>
  </si>
  <si>
    <t>NN Modules — Module tracing, hooks, and optimization</t>
  </si>
  <si>
    <t>Modules › Core</t>
  </si>
  <si>
    <t>NNModuleTests</t>
  </si>
  <si>
    <t>Tests dynamo tracing of nn.Module: __init__, forward, parameters, buffers, nested modules, and module methods.</t>
  </si>
  <si>
    <t>NNModuleTestsDevice</t>
  </si>
  <si>
    <t>Device-specific nn.Module tests.</t>
  </si>
  <si>
    <r>
      <rPr>
        <color rgb="FF1155CC"/>
        <u/>
      </rPr>
      <t>https://github.com/pytorch/pytorch/pull/178058/</t>
    </r>
  </si>
  <si>
    <t>OptimizedModuleTest</t>
  </si>
  <si>
    <t>Tests OptimizedModule wrapper: recompilation, module attribute access, and forward dispatching.</t>
  </si>
  <si>
    <t>Modules › Hooks</t>
  </si>
  <si>
    <t>HooksTests</t>
  </si>
  <si>
    <t>test_hooks.py</t>
  </si>
  <si>
    <t>Tests dynamo's handling of module hooks: forward_pre_hook, forward_hook, backward_hook, and state_dict hooks.</t>
  </si>
  <si>
    <t>Modules › Optimizers</t>
  </si>
  <si>
    <t>End2EndTests</t>
  </si>
  <si>
    <t>test_optimizers.py</t>
  </si>
  <si>
    <t>Tests end-to-end dynamo compilation of training loops with various optimizers.</t>
  </si>
  <si>
    <t>Modules › Buffers</t>
  </si>
  <si>
    <t>TestBuffersOverride</t>
  </si>
  <si>
    <t>test_buffers_override.py</t>
  </si>
  <si>
    <t>Tests buffer override behavior when modules are compiled.</t>
  </si>
  <si>
    <t>Subgraphs and Graph Breaks — Graph break handling and subgraph stitching</t>
  </si>
  <si>
    <t>Subgraphs</t>
  </si>
  <si>
    <t>SubGraphTests</t>
  </si>
  <si>
    <t>test_subgraphs.py</t>
  </si>
  <si>
    <t>Tests subgraph extraction and stitching: graph breaks, subgraph boundaries, and partial compilation.</t>
  </si>
  <si>
    <t>Nested Graph Breaks</t>
  </si>
  <si>
    <t>NestedGraphBreakTests</t>
  </si>
  <si>
    <t>test_nested_graph_breaks.py</t>
  </si>
  <si>
    <t>Tests nested graph break handling (graph breaks inside graph breaks).</t>
  </si>
  <si>
    <t>FX Graph — Graph analysis, passes, and annotation</t>
  </si>
  <si>
    <t>FX Annotation</t>
  </si>
  <si>
    <t>AnnotateTests</t>
  </si>
  <si>
    <t>test_fx_annotate.py</t>
  </si>
  <si>
    <t>Tests FX graph annotation utilities for marking nodes with metadata.</t>
  </si>
  <si>
    <t>1 CUDA-decorated method out of 6</t>
  </si>
  <si>
    <t>Shangdi Yu</t>
  </si>
  <si>
    <t>https://github.com/pytorch/pytorch/pull/185226</t>
  </si>
  <si>
    <t>FX Graph Runnable</t>
  </si>
  <si>
    <t>FxGraphRunnableTest</t>
  </si>
  <si>
    <t>test_fx_graph_runnable.py</t>
  </si>
  <si>
    <t>Tests that captured FX graphs are runnable: input/output handling, graph execution, and correctness.</t>
  </si>
  <si>
    <t>2/19 methods require gpu</t>
  </si>
  <si>
    <t>https://github.com/pytorch/pytorch/pull/185229</t>
  </si>
  <si>
    <t>TestFxGraphRunnableMultiProcessGroup</t>
  </si>
  <si>
    <t>Tests FX graph runnability with multi-process-group distributed setups.</t>
  </si>
  <si>
    <t>FX Pre-Grad Passes</t>
  </si>
  <si>
    <t>FxPassesPreGradTests</t>
  </si>
  <si>
    <t>test_fx_passes_pre_grad.py</t>
  </si>
  <si>
    <t>Tests FX graph passes applied before autograd decomposition.</t>
  </si>
  <si>
    <t>Dynamic Shapes — Symbolic shapes, guards, and shape specialization</t>
  </si>
  <si>
    <t>Dynamic Shapes</t>
  </si>
  <si>
    <t>TestDynamicShapes</t>
  </si>
  <si>
    <t>test_dynamic_shapes.py</t>
  </si>
  <si>
    <t>Tests dynamic shape support: symbolic ints, shape guards, and dynamic batch/sequence dimensions.</t>
  </si>
  <si>
    <t>Test class defined via make_test_cls_with_patches (not in file directly)</t>
  </si>
  <si>
    <t>Modes — TorchFunctionMode, TorchDispatchMode, and custom modes</t>
  </si>
  <si>
    <t>TorchDispatchModeTests</t>
  </si>
  <si>
    <t>test_modes.py</t>
  </si>
  <si>
    <t>Tests dynamo behavior under TorchDispatchMode.</t>
  </si>
  <si>
    <r>
      <rPr>
        <rFont val="Arial"/>
        <color rgb="FF1155CC"/>
        <u/>
      </rPr>
      <t>https://github.com/pytorch/pytorch/pull/179893</t>
    </r>
    <r>
      <rPr>
        <rFont val="Arial"/>
        <color rgb="FF1F1F1F"/>
      </rPr>
      <t xml:space="preserve"> </t>
    </r>
  </si>
  <si>
    <t>TorchFunctionModeTests</t>
  </si>
  <si>
    <t>Tests dynamo behavior under TorchFunctionMode: mode stacking, torch overrides, and compile interactions.</t>
  </si>
  <si>
    <t>6/28 methods require CUDA</t>
  </si>
  <si>
    <t>Michael Lazos</t>
  </si>
  <si>
    <t>At least some inductor. (https://github.com/pytorch/pytorch/pull/179893)</t>
  </si>
  <si>
    <t>InvokeSubgraphBackendTests</t>
  </si>
  <si>
    <t>Tests invoke_subgraph backend under various modes.</t>
  </si>
  <si>
    <t>https://github.com/pytorch/pytorch/pull/179893</t>
  </si>
  <si>
    <t>TorchFunctionModeLifecycleTests</t>
  </si>
  <si>
    <t>Tests TorchFunctionMode lifecycle (enter/exit) under dynamo.</t>
  </si>
  <si>
    <t>Subclasses — Tensor subclass tracing and dispatch</t>
  </si>
  <si>
    <t>SubclassTests</t>
  </si>
  <si>
    <t>test_subclasses.py</t>
  </si>
  <si>
    <t>Tests dynamo tracing of tensor subclasses: __torch_dispatch__, wrapper subclasses, and subclass metadata.</t>
  </si>
  <si>
    <t>https://github.com/pytorch/pytorch/pull/185238</t>
  </si>
  <si>
    <t>TestNestedTensor</t>
  </si>
  <si>
    <t>Tests nested tensor subclass tracing under dynamo.</t>
  </si>
  <si>
    <t>Views — View operation tracing</t>
  </si>
  <si>
    <t>ViewTests</t>
  </si>
  <si>
    <t>test_view.py</t>
  </si>
  <si>
    <t>Tests dynamo's handling of view operations: reshape, transpose, expand, and view metadata tracking.</t>
  </si>
  <si>
    <t>No refactoring needed</t>
  </si>
  <si>
    <t>Reconstruct — Object reconstruction after graph breaks</t>
  </si>
  <si>
    <t>ReconstructTest</t>
  </si>
  <si>
    <t>test_reconstruct.py</t>
  </si>
  <si>
    <t>Tests reconstruction of Python objects (tensors, modules, data structures) after graph breaks.</t>
  </si>
  <si>
    <t>Kumar Tanmay</t>
  </si>
  <si>
    <t>https://github.com/pytorch/pytorch/pull/185210</t>
  </si>
  <si>
    <t>Device-Specific — CUDA, streams, device guards</t>
  </si>
  <si>
    <t>CUDA Graphs</t>
  </si>
  <si>
    <t>TestAotCudagraphs</t>
  </si>
  <si>
    <t>test_cudagraphs.py</t>
  </si>
  <si>
    <t>Tests CUDA graph capture with AOT compilation: replay, static inputs, and memory management.</t>
  </si>
  <si>
    <t>Requires CUDA</t>
  </si>
  <si>
    <t>CUDA Graphs › Expandable Segments</t>
  </si>
  <si>
    <t>TestCudagraphsExpandableSegments</t>
  </si>
  <si>
    <t>test_cudagraphs_expandable_segments.py</t>
  </si>
  <si>
    <t>Tests CUDA graphs with expandable memory segments (file defines tests dynamically).</t>
  </si>
  <si>
    <t>Streams</t>
  </si>
  <si>
    <t>TestStreams</t>
  </si>
  <si>
    <t>test_streams.py</t>
  </si>
  <si>
    <t>Tests dynamo's handling of CUDA streams: stream creation, synchronization, and stream context managers.</t>
  </si>
  <si>
    <t>17/19 methods require CUDA</t>
  </si>
  <si>
    <r>
      <rPr>
        <rFont val="Arial"/>
      </rPr>
      <t xml:space="preserve">CUDA-specific &lt;-- we should have a device-generic test for streams as well
PR: </t>
    </r>
    <r>
      <rPr>
        <rFont val="Arial"/>
        <color rgb="FF1155CC"/>
        <u/>
      </rPr>
      <t>https://github.com/pytorch/pytorch/pull/185213</t>
    </r>
    <r>
      <rPr>
        <rFont val="Arial"/>
      </rPr>
      <t xml:space="preserve"> </t>
    </r>
  </si>
  <si>
    <t>Device Guard</t>
  </si>
  <si>
    <t>TestDeviceGuard</t>
  </si>
  <si>
    <t>test_deviceguard.py</t>
  </si>
  <si>
    <t>Tests device guard insertion during dynamo compilation.</t>
  </si>
  <si>
    <t>TestCUDADeviceGuard</t>
  </si>
  <si>
    <t>Tests CUDA-specific device guard behavior.</t>
  </si>
  <si>
    <t>CUDA-specific</t>
  </si>
  <si>
    <t>Distributed — Fake distributed, process groups</t>
  </si>
  <si>
    <t>TestFakeDistributed</t>
  </si>
  <si>
    <t>Tests fake distributed backend for dynamo compilation testing without real distributed setup.</t>
  </si>
  <si>
    <t>Regional Compilation — Regional inductor and partial compilation</t>
  </si>
  <si>
    <t>RegionalInductorTests</t>
  </si>
  <si>
    <t>test_regional_inductor.py</t>
  </si>
  <si>
    <t>Tests regional inductor compilation: compiling only selected regions of a model.</t>
  </si>
  <si>
    <t>2/11 methods require CUDA</t>
  </si>
  <si>
    <t>Inductor</t>
  </si>
  <si>
    <t>RegionalInductorInvokeSubgraphTests</t>
  </si>
  <si>
    <t>Tests regional inductor with invoke_subgraph ops.</t>
  </si>
  <si>
    <t>2/14 methods require CUDA</t>
  </si>
  <si>
    <t>TestRegionalOutputCode</t>
  </si>
  <si>
    <t>Tests output code generation for regional compilation.</t>
  </si>
  <si>
    <t>TestWrapInductorCompiledRegions</t>
  </si>
  <si>
    <t>test_wrap_inductor_compiled_regions.py</t>
  </si>
  <si>
    <t>Tests wrapping of inductor-compiled regions back into eager modules.</t>
  </si>
  <si>
    <t>18/19 methods require CUDA</t>
  </si>
  <si>
    <t>https://github.com/pytorch/pytorch/pull/185220</t>
  </si>
  <si>
    <t>Interop — Third-party library and framework interop</t>
  </si>
  <si>
    <t>InteropTests</t>
  </si>
  <si>
    <t>test_interop.py</t>
  </si>
  <si>
    <t>Tests dynamo interop with third-party libraries: numpy, scipy, and Python built-ins.</t>
  </si>
  <si>
    <t>https://github.com/pytorch/pytorch/pull/185214</t>
  </si>
  <si>
    <t>TestEinops</t>
  </si>
  <si>
    <t>test_einops.py</t>
  </si>
  <si>
    <t>Tests einops library integration with dynamo.</t>
  </si>
  <si>
    <t>NO refactoring needed</t>
  </si>
  <si>
    <t>TorchRecTests</t>
  </si>
  <si>
    <t>test_torchrec.py</t>
  </si>
  <si>
    <t>Tests TorchRec integration with dynamo compilation.</t>
  </si>
  <si>
    <t>Debugging and Diagnostics — Logging, profiling, minification, and error messages</t>
  </si>
  <si>
    <t>Logging</t>
  </si>
  <si>
    <t>LoggingTests</t>
  </si>
  <si>
    <t>Tests dynamo logging: graph dumps, guard logging, and verbose tracing output.</t>
  </si>
  <si>
    <t>6/54 methods require CUDA</t>
  </si>
  <si>
    <t>https://github.com/pytorch/pytorch/pull/185212</t>
  </si>
  <si>
    <t>IgnoreLogsTests</t>
  </si>
  <si>
    <t>test_reorder_logs.py</t>
  </si>
  <si>
    <t>Tests log filtering and ignoring mechanisms.</t>
  </si>
  <si>
    <t>ReorderLogsTests</t>
  </si>
  <si>
    <t>Tests log reordering for cleaner diagnostic output.</t>
  </si>
  <si>
    <t>Structured Trace</t>
  </si>
  <si>
    <t>StructuredTraceTest</t>
  </si>
  <si>
    <t>test_structured_trace.py</t>
  </si>
  <si>
    <t>Tests structured tracing output for tlparse integration.</t>
  </si>
  <si>
    <t>6/29 methods require CUDA</t>
  </si>
  <si>
    <t>https://github.com/pytorch/pytorch/pull/180207</t>
  </si>
  <si>
    <t>Profiling</t>
  </si>
  <si>
    <t>DynamoProfilerTests (profiler)</t>
  </si>
  <si>
    <t>test_profiler.py</t>
  </si>
  <si>
    <t>Tests profiler integration with dynamo: event capture and annotation under compilation.</t>
  </si>
  <si>
    <t>DynamoProfilerTests (dynamo_profiler)</t>
  </si>
  <si>
    <t>test_dynamo_profiler.py</t>
  </si>
  <si>
    <t>Tests dynamo-specific profiling utilities.</t>
  </si>
  <si>
    <t>Error Messages</t>
  </si>
  <si>
    <t>ErrorMessagesTest</t>
  </si>
  <si>
    <t>test_error_messages.py</t>
  </si>
  <si>
    <t>Tests error message quality: graph break reasons, compilation errors, and user-facing diagnostics.</t>
  </si>
  <si>
    <t>NestedGraphBreakLoggingTests</t>
  </si>
  <si>
    <t>Tests logging of nested graph break information.</t>
  </si>
  <si>
    <t>Minifier</t>
  </si>
  <si>
    <t>MinifierTests</t>
  </si>
  <si>
    <t>test_minifier.py</t>
  </si>
  <si>
    <t>Tests the dynamo minifier: reducing compilation failures to minimal reproducers.</t>
  </si>
  <si>
    <t>instantiate_device_type_tests with only_for=("cuda", "xpu", "cpu")</t>
  </si>
  <si>
    <t>Not important</t>
  </si>
  <si>
    <t>Debug Utils</t>
  </si>
  <si>
    <t>TestDebugUtils</t>
  </si>
  <si>
    <t>test_debug_utils.py</t>
  </si>
  <si>
    <t>Tests debug utility functions for dynamo.</t>
  </si>
  <si>
    <t>instantiate_device_type_tests (all devices)</t>
  </si>
  <si>
    <t>TestDebugUtilsDevice</t>
  </si>
  <si>
    <t>Device-specific debug utility tests.</t>
  </si>
  <si>
    <t>https://github.com/pytorch/pytorch/pull/179150</t>
  </si>
  <si>
    <t>TestBackendOverrideIntegration</t>
  </si>
  <si>
    <t>Tests backend override functionality for debugging.</t>
  </si>
  <si>
    <t>Repros — Regression tests and bug fix verifications</t>
  </si>
  <si>
    <t>ReproTests</t>
  </si>
  <si>
    <t>test_repros.py</t>
  </si>
  <si>
    <t>Large suite (~327 tests) of regression tests for specific bugs: each test reproduces a previously-reported issue.</t>
  </si>
  <si>
    <t>5 CUDA-decorated methods out of 327</t>
  </si>
  <si>
    <t>https://github.com/pytorch/pytorch/pull/181887</t>
  </si>
  <si>
    <t>ReproTestsDevice</t>
  </si>
  <si>
    <t>Device-specific regression tests.</t>
  </si>
  <si>
    <t>instantiate_device_type_tests with only_for=("cuda", "hpu"), (6/29 with cuda hardcode)</t>
  </si>
  <si>
    <t>https://github.com/pytorch/pytorch/pull/181888</t>
  </si>
  <si>
    <t>LRUCacheWarningTests</t>
  </si>
  <si>
    <t>Tests LRU cache warning behavior for compile caches.</t>
  </si>
  <si>
    <t>1/1 methods require CUDA</t>
  </si>
  <si>
    <t>https://github.com/pytorch/pytorch/pull/181889</t>
  </si>
  <si>
    <t>Model Output — Hugging Face model output handling</t>
  </si>
  <si>
    <t>TestHFPretrained</t>
  </si>
  <si>
    <t>test_model_output.py</t>
  </si>
  <si>
    <t>Tests dynamo compilation of Hugging Face pretrained model patterns.</t>
  </si>
  <si>
    <t>https://github.com/pytorch/pytorch/pull/180210</t>
  </si>
  <si>
    <t>TestModelOutput</t>
  </si>
  <si>
    <t>Tests dynamo's handling of ModelOutput dataclass-like objects (BaseModelOutput, etc.).</t>
  </si>
  <si>
    <t>TestModelOutputBert</t>
  </si>
  <si>
    <t>Tests BERT-style model output handling across devices.</t>
  </si>
  <si>
    <t>instantiate_device_type_tests with only_for=("cpu", "cuda", "xpu", "hpu")</t>
  </si>
  <si>
    <t>SDPA — Scaled Dot-Product Attention</t>
  </si>
  <si>
    <t>TestSDPA</t>
  </si>
  <si>
    <t>test_sdpa.py</t>
  </si>
  <si>
    <t>Tests dynamo compilation of scaled dot-product attention: flash attention, memory efficient, and math backends.</t>
  </si>
  <si>
    <t>Dev Shashidhar(Red Hat)</t>
  </si>
  <si>
    <t>https://github.com/pytorch/pytorch/pull/184739</t>
  </si>
  <si>
    <t>Miscellaneous — Configuration, utilities, polyfills, and callbacks</t>
  </si>
  <si>
    <t>Callbacks</t>
  </si>
  <si>
    <t>CallbackTests</t>
  </si>
  <si>
    <t>test_callback.py</t>
  </si>
  <si>
    <t>Tests dynamo callback mechanisms for compilation events.</t>
  </si>
  <si>
    <t>1 CUDA-decorated method out of 4</t>
  </si>
  <si>
    <t>https://github.com/pytorch/pytorch/pull/185110</t>
  </si>
  <si>
    <t>Polyfills</t>
  </si>
  <si>
    <t>TestGroupTensorsByDeviceAndDtype</t>
  </si>
  <si>
    <t>test_polyfills.py</t>
  </si>
  <si>
    <t>Tests polyfill for grouping tensors by device and dtype.</t>
  </si>
  <si>
    <t>TestAfterAot</t>
  </si>
  <si>
    <t>test_after_aot.py</t>
  </si>
  <si>
    <t>Tests behavior after AOT compilation completes.</t>
  </si>
  <si>
    <t>Dynamo Ops</t>
  </si>
  <si>
    <t>TestTensorMetaProp</t>
  </si>
  <si>
    <t>test_dynamo_ops.py</t>
  </si>
  <si>
    <t>Tests tensor meta propagation for op coverage across devices.</t>
  </si>
  <si>
    <t>Dynamo Decompositions</t>
  </si>
  <si>
    <t>TestDynamoDecompositions</t>
  </si>
  <si>
    <t>test_dynamo_decompositions.py</t>
  </si>
  <si>
    <t>Tests dynamo-specific op decomposition registrations.</t>
  </si>
  <si>
    <t>Forward-Loss-Backward</t>
  </si>
  <si>
    <t>TestForwardLossBackward</t>
  </si>
  <si>
    <t>test_fwd_loss_bwd.py</t>
  </si>
  <si>
    <t>Tests end-to-end forward-loss-backward training loop compilation.</t>
  </si>
  <si>
    <t>Python Dispatcher</t>
  </si>
  <si>
    <t>PythonDispatcherTests</t>
  </si>
  <si>
    <t>test_python_dispatcher.py</t>
  </si>
  <si>
    <t>Tests Python dispatcher integration with dynamo.</t>
  </si>
  <si>
    <t>Imports</t>
  </si>
  <si>
    <t>TestImports</t>
  </si>
  <si>
    <t>imports_non_circular_repro.py</t>
  </si>
  <si>
    <t>Tests that dynamo imports are non-circular.</t>
  </si>
  <si>
    <t>TestBaseOutput</t>
  </si>
  <si>
    <t>test_base_output.py</t>
  </si>
  <si>
    <t>Tests base output variable handling in dynamo.</t>
  </si>
  <si>
    <t>Tree Map</t>
  </si>
  <si>
    <t>TreeMapCompileTests</t>
  </si>
  <si>
    <t>test_tree_map.py</t>
  </si>
  <si>
    <t>Tests compilation of tree_map and pytree operations.</t>
  </si>
  <si>
    <t>Unittest Integration</t>
  </si>
  <si>
    <t>TestUnittest</t>
  </si>
  <si>
    <t>test_unittest.py</t>
  </si>
  <si>
    <t>Tests dynamo integration with Python unittest framework.</t>
  </si>
  <si>
    <t>Metrics Context</t>
  </si>
  <si>
    <t>TestMetricsContext</t>
  </si>
  <si>
    <t>test_metrics_context.py</t>
  </si>
  <si>
    <t>Tests metrics context tracking during compilation.</t>
  </si>
  <si>
    <t>Utils</t>
  </si>
  <si>
    <t>TestUtils</t>
  </si>
  <si>
    <t>Tests dynamo utility functions.</t>
  </si>
  <si>
    <t>TestDynamoTimed</t>
  </si>
  <si>
    <t>Tests the dynamo_timed utility for compilation timing measurement.</t>
  </si>
  <si>
    <t>TestInductorConfigParsingForLogging</t>
  </si>
  <si>
    <t>Tests inductor config parsing utilities used in logging.</t>
  </si>
  <si>
    <t>"CPython Standard Library Tests — Python stdlib tests adapted to run through dynamo (cpython/3_13/)"</t>
  </si>
  <si>
    <t>CPython Tests › Numeric Types</t>
  </si>
  <si>
    <t>BoolTest</t>
  </si>
  <si>
    <t>cpython/3_13/test_bool.py</t>
  </si>
  <si>
    <t>CPython bool type tests: subclassing, repr, str, arithmetic, comparisons, and hashing.</t>
  </si>
  <si>
    <t>CPython tests run through dynamo; all CPU-only</t>
  </si>
  <si>
    <t>IntTestCases</t>
  </si>
  <si>
    <t>cpython/3_13/test_int.py</t>
  </si>
  <si>
    <t>CPython int type tests: creation, conversion, bit operations, string parsing, and edge cases.</t>
  </si>
  <si>
    <t>IntStrDigitLimitsTests</t>
  </si>
  <si>
    <t>IntSubclassStrDigitLimitsTests</t>
  </si>
  <si>
    <t>PyLongModuleTests</t>
  </si>
  <si>
    <t>TestHexOctBin</t>
  </si>
  <si>
    <t>cpython/3_13/test_int_literal.py</t>
  </si>
  <si>
    <t>CPython hex/octal/binary integer literal tests.</t>
  </si>
  <si>
    <t>GeneralFloatCases</t>
  </si>
  <si>
    <t>cpython/3_13/test_float.py</t>
  </si>
  <si>
    <t>CPython float type tests: formatting, IEEE representation, rounding, inf/nan handling, and hex floats.</t>
  </si>
  <si>
    <t>FormatFunctionsTestCase</t>
  </si>
  <si>
    <t>IEEEFormatTestCase</t>
  </si>
  <si>
    <t>FormatTestCase</t>
  </si>
  <si>
    <t>ReprTestCase</t>
  </si>
  <si>
    <t>RoundTestCase</t>
  </si>
  <si>
    <t>InfNanTest</t>
  </si>
  <si>
    <t>HexFloatTestCase</t>
  </si>
  <si>
    <t>ComplexTest</t>
  </si>
  <si>
    <t>cpython/3_13/test_complex.py</t>
  </si>
  <si>
    <t>CPython complex type tests: arithmetic, formatting, hash, and edge cases.</t>
  </si>
  <si>
    <t>HashTest</t>
  </si>
  <si>
    <t>cpython/3_13/test_numeric_tower.py</t>
  </si>
  <si>
    <t>CPython numeric tower tests: hashing consistency and comparison between int/float/complex.</t>
  </si>
  <si>
    <t>ComparisonTest</t>
  </si>
  <si>
    <t>CPython Tests › Math</t>
  </si>
  <si>
    <t>MathTests</t>
  </si>
  <si>
    <t>cpython/3_13/test_math.py</t>
  </si>
  <si>
    <t>CPython math module tests: trig, exp, log, special functions, and edge cases.</t>
  </si>
  <si>
    <t>IsCloseTests</t>
  </si>
  <si>
    <t>FMATests</t>
  </si>
  <si>
    <t>CMathTests</t>
  </si>
  <si>
    <t>cpython/3_13/test_cmath.py</t>
  </si>
  <si>
    <t>CPython cmath module tests: complex math functions and isclose.</t>
  </si>
  <si>
    <t>CPython Tests › Data Structures</t>
  </si>
  <si>
    <t>DictTest</t>
  </si>
  <si>
    <t>cpython/3_13/test_dict.py</t>
  </si>
  <si>
    <t>CPython dict tests: creation, mutation, iteration, subclassing, and C API.</t>
  </si>
  <si>
    <t>CAPITest</t>
  </si>
  <si>
    <t>GeneralMappingTests</t>
  </si>
  <si>
    <t>SubclassMappingTests</t>
  </si>
  <si>
    <t>ListTest</t>
  </si>
  <si>
    <t>cpython/3_13/test_list.py</t>
  </si>
  <si>
    <t>CPython list tests: common sequence operations, mutation, and subclassing.</t>
  </si>
  <si>
    <t>TupleTest</t>
  </si>
  <si>
    <t>cpython/3_13/test_tuple.py</t>
  </si>
  <si>
    <t>CPython tuple tests: common sequence operations and immutability.</t>
  </si>
  <si>
    <t>TestSet</t>
  </si>
  <si>
    <t>cpython/3_13/test_set.py</t>
  </si>
  <si>
    <t>CPython set/frozenset tests: operations, subsets, mutating ops, copying, and edge cases.</t>
  </si>
  <si>
    <t>TestSetSubclass</t>
  </si>
  <si>
    <t>TestFrozenSet</t>
  </si>
  <si>
    <t>TestFrozenSetSubclass</t>
  </si>
  <si>
    <t>TestSetSubclassWithSlots</t>
  </si>
  <si>
    <t>TestFrozenSetSubclassWithSlots</t>
  </si>
  <si>
    <t>TestBasicOpsEmpty</t>
  </si>
  <si>
    <t>TestBasicOpsSingleton</t>
  </si>
  <si>
    <t>TestBasicOpsTuple</t>
  </si>
  <si>
    <t>TestBasicOpsTriple</t>
  </si>
  <si>
    <t>TestBasicOpsString</t>
  </si>
  <si>
    <t>TestBasicOpsBytes</t>
  </si>
  <si>
    <t>TestBasicOpsMixedStringBytes</t>
  </si>
  <si>
    <t>TestExceptionPropagation</t>
  </si>
  <si>
    <t>TestSetOfSets</t>
  </si>
  <si>
    <t>TestBinaryOps</t>
  </si>
  <si>
    <t>TestUpdateOps</t>
  </si>
  <si>
    <t>TestMutate</t>
  </si>
  <si>
    <t>TestSubsetEqualEmpty</t>
  </si>
  <si>
    <t>TestSubsetEqualNonEmpty</t>
  </si>
  <si>
    <t>TestSubsetEmptyNonEmpty</t>
  </si>
  <si>
    <t>TestSubsetPartial</t>
  </si>
  <si>
    <t>TestSubsetNonOverlap</t>
  </si>
  <si>
    <t>TestOnlySetsNumeric</t>
  </si>
  <si>
    <t>TestOnlySetsDict</t>
  </si>
  <si>
    <t>TestOnlySetsOperator</t>
  </si>
  <si>
    <t>TestOnlySetsTuple</t>
  </si>
  <si>
    <t>TestOnlySetsString</t>
  </si>
  <si>
    <t>TestOnlySetsGenerator</t>
  </si>
  <si>
    <t>TestCopyingEmpty</t>
  </si>
  <si>
    <t>TestCopyingSingleton</t>
  </si>
  <si>
    <t>TestCopyingTriple</t>
  </si>
  <si>
    <t>TestCopyingTuple</t>
  </si>
  <si>
    <t>TestCopyingNested</t>
  </si>
  <si>
    <t>TestIdentities</t>
  </si>
  <si>
    <t>TestVariousIteratorArgs</t>
  </si>
  <si>
    <t>TestWeirdBugs</t>
  </si>
  <si>
    <t>_TestBinaryOpsMutating</t>
  </si>
  <si>
    <t>TestBinaryOpsMutating_Set_Set</t>
  </si>
  <si>
    <t>TestBinaryOpsMutating_Subclass_Subclass</t>
  </si>
  <si>
    <t>TestBinaryOpsMutating_Set_Subclass</t>
  </si>
  <si>
    <t>TestBinaryOpsMutating_Subclass_Set</t>
  </si>
  <si>
    <t>_TestMethodsMutating</t>
  </si>
  <si>
    <t>TestMethodsMutating_Set_Set</t>
  </si>
  <si>
    <t>TestMethodsMutating_Subclass_Subclass</t>
  </si>
  <si>
    <t>TestMethodsMutating_Set_Subclass</t>
  </si>
  <si>
    <t>TestMethodsMutating_Subclass_Set</t>
  </si>
  <si>
    <t>TestMethodsMutating_Set_Dict</t>
  </si>
  <si>
    <t>TestMethodsMutating_Set_List</t>
  </si>
  <si>
    <t>TestGraphs</t>
  </si>
  <si>
    <t>RangeTest</t>
  </si>
  <si>
    <t>cpython/3_13/test_range.py</t>
  </si>
  <si>
    <t>CPython range tests: creation, iteration, containment, and slicing.</t>
  </si>
  <si>
    <t>PurePythonOrderedDictTests</t>
  </si>
  <si>
    <t>cpython/3_13/test_ordered_dict.py</t>
  </si>
  <si>
    <t>CPython OrderedDict tests: ordering, move_to_end, popitem, and subclassing.</t>
  </si>
  <si>
    <t>CPythonBuiltinDictTests</t>
  </si>
  <si>
    <t>PurePythonOrderedDictSubclassTests</t>
  </si>
  <si>
    <t>CPythonOrderedDictSubclassTests</t>
  </si>
  <si>
    <t>PurePythonOrderedDictWithSlotsCopyingTests</t>
  </si>
  <si>
    <t>CPythonOrderedDictWithSlotsCopyingTests</t>
  </si>
  <si>
    <t>PurePythonGeneralMappingTests</t>
  </si>
  <si>
    <t>CPythonGeneralMappingTests</t>
  </si>
  <si>
    <t>PurePythonSubclassMappingTests</t>
  </si>
  <si>
    <t>CPythonSubclassMappingTests</t>
  </si>
  <si>
    <t>PySimpleLRUCacheTests</t>
  </si>
  <si>
    <t>CSimpleLRUCacheTests</t>
  </si>
  <si>
    <t>TestDefaultDict</t>
  </si>
  <si>
    <t>cpython/3_13/test_defaultdict.py</t>
  </si>
  <si>
    <t>CPython defaultdict tests: default_factory behavior and missing key handling.</t>
  </si>
  <si>
    <t>TestUserObjects</t>
  </si>
  <si>
    <t>cpython/3_13/test_collections.py</t>
  </si>
  <si>
    <t>CPython collections module tests: ChainMap, namedtuple, Counter, and ABC interfaces.</t>
  </si>
  <si>
    <t>TestChainMap</t>
  </si>
  <si>
    <t>TestNamedTuple</t>
  </si>
  <si>
    <t>ABCTestCase</t>
  </si>
  <si>
    <t>TestOneTrickPonyABCs</t>
  </si>
  <si>
    <t>TestCollectionABCs</t>
  </si>
  <si>
    <t>TestCounter</t>
  </si>
  <si>
    <t>UserDictTest</t>
  </si>
  <si>
    <t>cpython/3_13/test_userdict.py</t>
  </si>
  <si>
    <t>CPython UserDict tests: mapping protocol compliance.</t>
  </si>
  <si>
    <t>UserListTest</t>
  </si>
  <si>
    <t>cpython/3_13/test_userlist.py</t>
  </si>
  <si>
    <t>CPython UserList tests: list protocol compliance.</t>
  </si>
  <si>
    <t>CommonTest</t>
  </si>
  <si>
    <t>cpython/3_13/list_tests.py</t>
  </si>
  <si>
    <t>CPython list base test utilities (CommonTest for list-like types).</t>
  </si>
  <si>
    <t>BasicTestMappingProtocol</t>
  </si>
  <si>
    <t>cpython/3_13/mapping_tests.py</t>
  </si>
  <si>
    <t>CPython mapping protocol test utilities (BasicTestMappingProtocol and subclasses).</t>
  </si>
  <si>
    <t>TestMappingProtocol</t>
  </si>
  <si>
    <t>TestHashMappingProtocol</t>
  </si>
  <si>
    <t>cpython/3_13/seq_tests.py</t>
  </si>
  <si>
    <t>CPython sequence protocol test utilities (CommonTest for sequence-like types).</t>
  </si>
  <si>
    <t>CPython Tests › Iteration</t>
  </si>
  <si>
    <t>TestCase</t>
  </si>
  <si>
    <t>cpython/3_13/test_iter.py</t>
  </si>
  <si>
    <t>CPython iterator protocol tests: iteration, StopIteration, and iterator edge cases.</t>
  </si>
  <si>
    <t>TestBasicOps</t>
  </si>
  <si>
    <t>cpython/3_13/test_itertools.py</t>
  </si>
  <si>
    <t>CPython itertools module tests: chain, compress, product, permutations, combinations, etc.</t>
  </si>
  <si>
    <t>TestExamples</t>
  </si>
  <si>
    <t>TestPurePythonRoughEquivalents</t>
  </si>
  <si>
    <t>TestGC</t>
  </si>
  <si>
    <t>LengthTransparency</t>
  </si>
  <si>
    <t>RegressionTests</t>
  </si>
  <si>
    <t>SubclassWithKwargsTest</t>
  </si>
  <si>
    <t>TestBase</t>
  </si>
  <si>
    <t>cpython/3_13/test_sort.py</t>
  </si>
  <si>
    <t>CPython sort tests: list.sort, sorted, stability, key functions, and edge cases.</t>
  </si>
  <si>
    <t>TestBugs</t>
  </si>
  <si>
    <t>TestDecorateSortUndecorate</t>
  </si>
  <si>
    <t>TestOptimizedCompares</t>
  </si>
  <si>
    <t>TestModules</t>
  </si>
  <si>
    <t>cpython/3_13/test_heapq.py</t>
  </si>
  <si>
    <t>CPython heapq module tests: heap operations, nlargest, nsmallest.</t>
  </si>
  <si>
    <t>TestHeapPython</t>
  </si>
  <si>
    <t>TestHeapC</t>
  </si>
  <si>
    <t>TestErrorHandlingPython</t>
  </si>
  <si>
    <t>TestErrorHandlingC</t>
  </si>
  <si>
    <t>CPython Tests › Exceptions and Error Handling</t>
  </si>
  <si>
    <t>cpython/3_13/test_exceptions.py</t>
  </si>
  <si>
    <t>CPython exception tests: exception hierarchy, attributes, chaining, and error messages.</t>
  </si>
  <si>
    <t>NameErrorTests</t>
  </si>
  <si>
    <t>AttributeErrorTests</t>
  </si>
  <si>
    <t>ImportErrorTests</t>
  </si>
  <si>
    <t>AssertionErrorTests</t>
  </si>
  <si>
    <t>SyntaxErrorTests</t>
  </si>
  <si>
    <t>TestInvalidExceptionMatcher</t>
  </si>
  <si>
    <t>PEP626Tests</t>
  </si>
  <si>
    <t>ExceptionClassTests</t>
  </si>
  <si>
    <t>cpython/3_13/test_baseexception.py</t>
  </si>
  <si>
    <t>CPython BaseException tests: exception class hierarchy and usage patterns.</t>
  </si>
  <si>
    <t>UsageTests</t>
  </si>
  <si>
    <t>ExceptTestCases</t>
  </si>
  <si>
    <t>cpython/3_13/test_exception_variations.py</t>
  </si>
  <si>
    <t>CPython except clause variation tests: different except syntaxes and matching.</t>
  </si>
  <si>
    <t>TestRaise</t>
  </si>
  <si>
    <t>cpython/3_13/test_raise.py</t>
  </si>
  <si>
    <t>CPython raise statement tests: raise, cause, traceback, and context.</t>
  </si>
  <si>
    <t>TestCause</t>
  </si>
  <si>
    <t>TestTraceback</t>
  </si>
  <si>
    <t>TestTracebackType</t>
  </si>
  <si>
    <t>TestContext</t>
  </si>
  <si>
    <t>TestRemovedFunctionality</t>
  </si>
  <si>
    <t>CPython Tests › Generators</t>
  </si>
  <si>
    <t>SignalAndYieldFromTest</t>
  </si>
  <si>
    <t>cpython/3_13/test_generators.py</t>
  </si>
  <si>
    <t>CPython generator tests: yield, send, close, throw, stack traces, and yield from.</t>
  </si>
  <si>
    <t>FinalizationTest</t>
  </si>
  <si>
    <t>GeneratorTest</t>
  </si>
  <si>
    <t>ModifyUnderlyingIterableTest</t>
  </si>
  <si>
    <t>ExceptionTest</t>
  </si>
  <si>
    <t>GeneratorCloseTest</t>
  </si>
  <si>
    <t>GeneratorThrowTest</t>
  </si>
  <si>
    <t>GeneratorStackTraceTest</t>
  </si>
  <si>
    <t>YieldFromTests</t>
  </si>
  <si>
    <t>TestPEP479</t>
  </si>
  <si>
    <t>cpython/3_13/test_generator_stop.py</t>
  </si>
  <si>
    <t>CPython PEP 479 (GeneratorExit/StopIteration) tests.</t>
  </si>
  <si>
    <t>CPython Tests › Context Managers</t>
  </si>
  <si>
    <t>TestAbstractContextManager</t>
  </si>
  <si>
    <t>cpython/3_13/test_contextlib.py</t>
  </si>
  <si>
    <t>CPython contextlib tests: contextmanager, closing, suppress, ExitStack, redirect, and chdir.</t>
  </si>
  <si>
    <t>ContextManagerTestCase</t>
  </si>
  <si>
    <t>ClosingTestCase</t>
  </si>
  <si>
    <t>NullcontextTestCase</t>
  </si>
  <si>
    <t>FileContextTestCase</t>
  </si>
  <si>
    <t>LockContextTestCase</t>
  </si>
  <si>
    <t>TestContextDecorator</t>
  </si>
  <si>
    <t>TestRedirectStdout</t>
  </si>
  <si>
    <t>TestRedirectStderr</t>
  </si>
  <si>
    <t>TestSuppress</t>
  </si>
  <si>
    <t>TestChdir</t>
  </si>
  <si>
    <t>FailureTestCase</t>
  </si>
  <si>
    <t>cpython/3_13/test_with.py</t>
  </si>
  <si>
    <t>CPython with statement tests: exceptional, non-exceptional, nested, and flow control cases.</t>
  </si>
  <si>
    <t>NonexceptionalTestCase</t>
  </si>
  <si>
    <t>ExceptionalTestCase</t>
  </si>
  <si>
    <t>NonLocalFlowControlTestCase</t>
  </si>
  <si>
    <t>AssignmentTargetTestCase</t>
  </si>
  <si>
    <t>ExitSwallowsExceptionTestCase</t>
  </si>
  <si>
    <t>NestedWith</t>
  </si>
  <si>
    <t>CPython Tests › Pattern Matching</t>
  </si>
  <si>
    <t>TestCompiler</t>
  </si>
  <si>
    <t>cpython/3_13/test_patma.py</t>
  </si>
  <si>
    <t>CPython pattern matching (match/case) tests: compiler, inheritance, patterns, syntax errors.</t>
  </si>
  <si>
    <t>TestInheritance</t>
  </si>
  <si>
    <t>TestPatma</t>
  </si>
  <si>
    <t>TestSyntaxErrors</t>
  </si>
  <si>
    <t>TestTypeErrors</t>
  </si>
  <si>
    <t>TestValueErrors</t>
  </si>
  <si>
    <t>TestSourceLocations</t>
  </si>
  <si>
    <t>TestTracing</t>
  </si>
  <si>
    <t>CPython Tests › Operators</t>
  </si>
  <si>
    <t>PyOperatorTestCase</t>
  </si>
  <si>
    <t>cpython/3_13/test_operator.py</t>
  </si>
  <si>
    <t>CPython operator module tests: itemgetter, attrgetter, methodcaller, and operator functions.</t>
  </si>
  <si>
    <t>COperatorTestCase</t>
  </si>
  <si>
    <t>PyPyOperatorPickleTestCase</t>
  </si>
  <si>
    <t>PyCOperatorPickleTestCase</t>
  </si>
  <si>
    <t>CPyOperatorPickleTestCase</t>
  </si>
  <si>
    <t>CCOperatorPickleTestCase</t>
  </si>
  <si>
    <t>CPython Tests › System</t>
  </si>
  <si>
    <t>DisplayHookTest</t>
  </si>
  <si>
    <t>cpython/3_13/test_sys.py</t>
  </si>
  <si>
    <t>CPython sys module tests: displayhook, excepthook, module attributes, and sizeof.</t>
  </si>
  <si>
    <t>ActiveExceptionTests</t>
  </si>
  <si>
    <t>ExceptHookTest</t>
  </si>
  <si>
    <t>SysModuleTest</t>
  </si>
  <si>
    <t>UnraisableHookTest</t>
  </si>
  <si>
    <t>SizeofTest</t>
  </si>
  <si>
    <t>CPython Tests › Unittest</t>
  </si>
  <si>
    <t>Test_Assertions</t>
  </si>
  <si>
    <t>cpython/3_13/test_unittest/test_assertions.py</t>
  </si>
  <si>
    <t>CPython unittest assertion tests: assertEqual, assertRaises, assertLongMessage.</t>
  </si>
  <si>
    <t>TestLongMessage</t>
  </si>
  <si>
    <t>CUDA / GPU — CUDA device, memory management, streams, multi-GPU, and mixed precision</t>
  </si>
  <si>
    <t>CUDA / GPU › Core CUDA</t>
  </si>
  <si>
    <t>TestCuda</t>
  </si>
  <si>
    <t>test_cuda.py</t>
  </si>
  <si>
    <t>Tests core CUDA functionality including memory management, streams, events, caching allocator, and device properties.</t>
  </si>
  <si>
    <t>Not device_type_tests; hardcoded cuda via TEST_CUDA guard</t>
  </si>
  <si>
    <t>TestCudaMallocAsync</t>
  </si>
  <si>
    <t>Tests CUDA async memory allocator (cudaMallocAsync) behavior including allocation patterns and error handling.</t>
  </si>
  <si>
    <t>Not device_type_tests; hardcoded cuda with cudaMallocAsync check</t>
  </si>
  <si>
    <t>TestBlockStateAbsorption</t>
  </si>
  <si>
    <t>Tests CUDA caching allocator block state absorption and memory pool optimization behaviors.</t>
  </si>
  <si>
    <t>Not device_type_tests; hardcoded cuda operations</t>
  </si>
  <si>
    <t>TestCachingHostAllocatorCudaGraph</t>
  </si>
  <si>
    <t>Tests interaction between CUDA graphs and the caching host (pinned memory) allocator.</t>
  </si>
  <si>
    <t>Not device_type_tests; hardcoded cuda graph operations</t>
  </si>
  <si>
    <t>TestMemPool</t>
  </si>
  <si>
    <t>Tests CUDA memory pool management including custom pools, pool sharing, and CUDA graph integration.</t>
  </si>
  <si>
    <t>Not device_type_tests; hardcoded cuda memory pool APIs</t>
  </si>
  <si>
    <t>TestCudaOptims</t>
  </si>
  <si>
    <t>Tests optimizer behavior on CUDA including capturable optimizers, CUDA graphs, and multi-tensor apply.</t>
  </si>
  <si>
    <t>Not device_type_tests; hardcoded cuda with @optims decorator</t>
  </si>
  <si>
    <t>TestGreenContext</t>
  </si>
  <si>
    <t>Tests CUDA green contexts for lightweight context switching on supported hardware.</t>
  </si>
  <si>
    <t>Not device_type_tests; hardcoded cuda with SM90+ check</t>
  </si>
  <si>
    <t>TestGDS</t>
  </si>
  <si>
    <t>Tests CUDA GPUDirect Storage (GDS) for direct file I/O to GPU memory.</t>
  </si>
  <si>
    <t>Not device_type_tests; hardcoded cuda with GDS availability check</t>
  </si>
  <si>
    <t>TestCudaAutocast</t>
  </si>
  <si>
    <t>Tests torch.cuda.amp.autocast for automatic mixed precision training on CUDA.</t>
  </si>
  <si>
    <t>Not device_type_tests; hardcoded cuda autocast operations</t>
  </si>
  <si>
    <t>TestCompileKernel</t>
  </si>
  <si>
    <t>Tests CUDA kernel compilation including cudagraphs, torch.compile integration, and kernel launch behaviors.</t>
  </si>
  <si>
    <t>Not device_type_tests; hardcoded cuda compilation</t>
  </si>
  <si>
    <t>TestCudaDeviceParametrized</t>
  </si>
  <si>
    <t>Tests CUDA device behavior across multiple GPUs including device selection, memory stats, and p2p communication.</t>
  </si>
  <si>
    <t>Not device_type_tests; hardcoded cuda with device parametrization</t>
  </si>
  <si>
    <t>TestFXMemoryProfiler</t>
  </si>
  <si>
    <t>Tests FX-based CUDA memory profiler for tracking memory usage during model execution.</t>
  </si>
  <si>
    <t>Not device_type_tests; hardcoded cuda memory profiling</t>
  </si>
  <si>
    <t>TestCudaMultiGPU</t>
  </si>
  <si>
    <t>test_cuda_multigpu.py</t>
  </si>
  <si>
    <t>Tests multi-GPU CUDA operations including broadcast, scatter, gather, streams, events, and cross-device copies.</t>
  </si>
  <si>
    <t>Not device_type_tests; hardcoded cuda with TEST_MULTIGPU guard</t>
  </si>
  <si>
    <t>TestCudaComm</t>
  </si>
  <si>
    <t>Tests CUDA communication primitives (broadcast, scatter, gather, reduce_add) across multiple GPUs.</t>
  </si>
  <si>
    <t>TestCudaPrimaryCtx</t>
  </si>
  <si>
    <t>test_cuda_primary_ctx.py</t>
  </si>
  <si>
    <t>Tests CUDA primary context creation and lazy initialization behavior to avoid unnecessary context creation.</t>
  </si>
  <si>
    <t>Not device_type_tests; hardcoded cuda context operations</t>
  </si>
  <si>
    <t>CUDA / GPU › CUDA Tools</t>
  </si>
  <si>
    <t>TestArgumentHandler</t>
  </si>
  <si>
    <t>test_cuda_sanitizer.py</t>
  </si>
  <si>
    <t>Tests CUDA sanitizer argument parsing for tracking tensor data pointer reads and writes in CUDA operations.</t>
  </si>
  <si>
    <t>Not device_type_tests; uses cuda tensors directly for sanitizer testing</t>
  </si>
  <si>
    <t>TestEventHandler</t>
  </si>
  <si>
    <t>Tests CUDA sanitizer event handler logic for detecting stream synchronization errors without actual GPU execution.</t>
  </si>
  <si>
    <t>No device arg; tests EventHandler logic with mock stream/data IDs</t>
  </si>
  <si>
    <t>TestMessages</t>
  </si>
  <si>
    <t>Tests CUDA sanitizer error message formatting for synchronization violations.</t>
  </si>
  <si>
    <t>No device arg; tests EventHandler error message generation</t>
  </si>
  <si>
    <t>TestCudaTrace</t>
  </si>
  <si>
    <t>test_cuda_trace.py</t>
  </si>
  <si>
    <t>Tests CUDA GPU trace callback system for event creation/deletion, memory allocation, and stream operations.</t>
  </si>
  <si>
    <t>Not device_type_tests; hardcoded cuda trace callback registration</t>
  </si>
  <si>
    <t>CUDA / GPU › CUDA Compat &amp; Init</t>
  </si>
  <si>
    <t>TestCodeCompatibleWithDevice</t>
  </si>
  <si>
    <t>test_cuda_compatibility.py</t>
  </si>
  <si>
    <t>Tests torch.cuda._code_compatible_with_device logic for compute capability compatibility checking.</t>
  </si>
  <si>
    <t>Not device_type_tests; tests compatibility logic with mock patches</t>
  </si>
  <si>
    <t>TestCheckCapability</t>
  </si>
  <si>
    <t>Tests torch.cuda._check_capability for warning when compiled CUDA code doesn't match device capability.</t>
  </si>
  <si>
    <t>Not device_type_tests; uses mock patches for device capability</t>
  </si>
  <si>
    <t>TestExtendedCUDAIsAvail</t>
  </si>
  <si>
    <t>test_cuda_nvml_based_avail.py</t>
  </si>
  <si>
    <t>Tests NVML-based CUDA availability check as alternative to CUDA runtime API initialization.</t>
  </si>
  <si>
    <t>Not device_type_tests; hardcoded cuda NVML-based availability</t>
  </si>
  <si>
    <t>TestVisibleDeviceParses</t>
  </si>
  <si>
    <t>Tests parsing of CUDA_VISIBLE_DEVICES environment variable for device index extraction.</t>
  </si>
  <si>
    <t>No device arg; tests env var string parsing logic only</t>
  </si>
  <si>
    <t>AlwaysCheckCudaLaunchTest</t>
  </si>
  <si>
    <t>test_kernel_launch_checks.py</t>
  </si>
  <si>
    <t>Tests that all CUDA kernel launches in the codebase are followed by C10_CUDA_KERNEL_LAUNCH_CHECK.</t>
  </si>
  <si>
    <t>No device arg; scans C++ source code with regex checks</t>
  </si>
  <si>
    <t>CUDA / GPU › Jiterator</t>
  </si>
  <si>
    <t>TestPythonJiterator</t>
  </si>
  <si>
    <t>test_jiterator.py</t>
  </si>
  <si>
    <t>Tests CUDA JIT-compiled elementwise kernels (jiterator) for various dtypes, shapes, and extra arguments.</t>
  </si>
  <si>
    <t>instantiate_device_type_tests with only_for=cuda (implicit via NoTest guard)</t>
  </si>
  <si>
    <t>CUDA / GPU › Autocast</t>
  </si>
  <si>
    <t>TestAutocastCPU</t>
  </si>
  <si>
    <t>test_autocast.py</t>
  </si>
  <si>
    <t>Tests autocast (AMP) dtype casting behavior for CPU operations including torch, nn, promote, and rnn ops.</t>
  </si>
  <si>
    <t>All tests explicitly use device="cpu" in autocast calls</t>
  </si>
  <si>
    <t>TestAutocastGPU</t>
  </si>
  <si>
    <t>Tests CUDA autocast cache behavior, including cache persistence across forward/backward and cache disabling for cached tensors.</t>
  </si>
  <si>
    <t>All tests create .cuda() tensors; class skipped if no CUDA</t>
  </si>
  <si>
    <t>TestAutocastMPS</t>
  </si>
  <si>
    <t>Tests MPS autocast cache behavior, error messaging, and bfloat16 support.</t>
  </si>
  <si>
    <t>hardcoded_mps</t>
  </si>
  <si>
    <t>All tests use device="mps"; class skipped if MPS unavailable</t>
  </si>
  <si>
    <t>TestTorchAutocast</t>
  </si>
  <si>
    <t>Tests autocast dtype queries, invalid device handling, and autocast+no_grad/inference_mode caching interactions on CPU and CUDA.</t>
  </si>
  <si>
    <t>Most tests are no_device; some use skipIf(not CUDA) for CUDA variants</t>
  </si>
</sst>
</file>

<file path=xl/styles.xml><?xml version="1.0" encoding="utf-8"?>
<styleSheet xmlns="http://schemas.openxmlformats.org/spreadsheetml/2006/main" xmlns:x14ac="http://schemas.microsoft.com/office/spreadsheetml/2009/9/ac" xmlns:mc="http://schemas.openxmlformats.org/markup-compatibility/2006">
  <fonts count="65">
    <font>
      <sz val="10.0"/>
      <color rgb="FF000000"/>
      <name val="Arial"/>
      <scheme val="minor"/>
    </font>
    <font>
      <color theme="1"/>
      <name val="Arial"/>
    </font>
    <font>
      <u/>
      <color rgb="FF0000FF"/>
      <name val="Arial"/>
    </font>
    <font>
      <b/>
      <color rgb="FF1F3864"/>
      <name val="Arial"/>
    </font>
    <font>
      <b/>
      <color rgb="FF375623"/>
      <name val="Arial"/>
    </font>
    <font>
      <b/>
      <color theme="1"/>
      <name val="Arial"/>
    </font>
    <font>
      <b/>
      <sz val="12.0"/>
      <color rgb="FFFFFFFF"/>
      <name val="Arial"/>
    </font>
    <font>
      <b/>
      <color rgb="FFFFFFFF"/>
      <name val="Arial"/>
    </font>
    <font>
      <u/>
      <color rgb="FF1155CC"/>
      <name val="Arial"/>
    </font>
    <font>
      <u/>
      <color rgb="FF0000FF"/>
      <name val="Arial"/>
    </font>
    <font>
      <u/>
      <color rgb="FF0000FF"/>
      <name val="Arial"/>
    </font>
    <font>
      <u/>
      <color rgb="FF1155CC"/>
      <name val="Arial"/>
    </font>
    <font>
      <u/>
      <color rgb="FF1155CC"/>
      <name val="Arial"/>
    </font>
    <font>
      <u/>
      <color rgb="FF0000FF"/>
    </font>
    <font>
      <color rgb="FFBFBFBF"/>
      <name val="Arial"/>
    </font>
    <font>
      <u/>
      <color rgb="FF1155CC"/>
      <name val="Arial"/>
    </font>
    <font>
      <u/>
      <color rgb="FF1155CC"/>
      <name val="Arial"/>
    </font>
    <font>
      <u/>
      <color rgb="FF0000FF"/>
      <name val="Arial"/>
    </font>
    <font>
      <u/>
      <sz val="11.0"/>
      <color rgb="FF292A2E"/>
      <name val="&quot;Atlassian Sans&quot;"/>
    </font>
    <font>
      <u/>
      <color rgb="FF0000FF"/>
      <name val="Arial"/>
    </font>
    <font>
      <color theme="1"/>
      <name val="Arial"/>
      <scheme val="minor"/>
    </font>
    <font>
      <u/>
      <color rgb="FF0000FF"/>
      <name val="Arial"/>
    </font>
    <font>
      <u/>
      <color rgb="FF1155CC"/>
      <name val="Arial"/>
    </font>
    <font>
      <u/>
      <color rgb="FF0000FF"/>
      <name val="Arial"/>
    </font>
    <font>
      <u/>
      <color rgb="FF0000FF"/>
      <name val="Arial"/>
    </font>
    <font>
      <u/>
      <color rgb="FF0000FF"/>
      <name val="Arial"/>
    </font>
    <font>
      <u/>
      <color rgb="FF1155CC"/>
      <name val="Arial"/>
    </font>
    <font>
      <u/>
      <color rgb="FF1155CC"/>
      <name val="Arial"/>
    </font>
    <font>
      <u/>
      <color rgb="FF0000FF"/>
      <name val="Arial"/>
    </font>
    <font>
      <u/>
      <color rgb="FF1155CC"/>
      <name val="Arial"/>
    </font>
    <font>
      <color rgb="FF1F3864"/>
      <name val="Arial"/>
    </font>
    <font>
      <u/>
      <color rgb="FF1155CC"/>
      <name val="Arial"/>
    </font>
    <font>
      <u/>
      <color theme="1"/>
      <name val="Arial"/>
    </font>
    <font>
      <u/>
      <color rgb="FF1155CC"/>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color rgb="FFFFFFFF"/>
      <name val="Arial"/>
    </font>
    <font>
      <b/>
      <sz val="12.0"/>
      <color theme="1"/>
      <name val="Arial"/>
    </font>
    <font>
      <u/>
      <color rgb="FF0000FF"/>
      <name val="Arial"/>
    </font>
    <font/>
    <font>
      <u/>
      <color rgb="FF0000FF"/>
      <name val="Arial"/>
    </font>
    <font>
      <u/>
      <color rgb="FF0563C1"/>
      <name val="Arial"/>
    </font>
    <font>
      <u/>
      <color rgb="FF0563C1"/>
      <name val="Arial"/>
    </font>
    <font>
      <u/>
      <color rgb="FF0000FF"/>
      <name val="Arial"/>
    </font>
    <font>
      <u/>
      <color rgb="FF0000FF"/>
      <name val="Arial"/>
    </font>
    <font>
      <u/>
      <color rgb="FF0563C1"/>
      <name val="Arial"/>
    </font>
    <font>
      <u/>
      <color rgb="FF0000FF"/>
    </font>
    <font>
      <u/>
      <color theme="1"/>
      <name val="Arial"/>
    </font>
    <font>
      <u/>
      <color theme="1"/>
      <name val="Arial"/>
    </font>
    <font>
      <u/>
      <color rgb="FF0563C1"/>
      <name val="Arial"/>
    </font>
    <font>
      <u/>
      <color rgb="FF0563C1"/>
      <name val="Arial"/>
    </font>
    <font>
      <u/>
      <color rgb="FFBFBFBF"/>
      <name val="Arial"/>
    </font>
    <font>
      <u/>
      <color rgb="FFBFBFBF"/>
      <name val="Arial"/>
    </font>
    <font>
      <u/>
      <color rgb="FF0000FF"/>
      <name val="Arial"/>
    </font>
    <font>
      <u/>
      <color rgb="FF0000FF"/>
      <name val="Arial"/>
    </font>
    <font>
      <u/>
      <color rgb="FF0000FF"/>
    </font>
  </fonts>
  <fills count="16">
    <fill>
      <patternFill patternType="none"/>
    </fill>
    <fill>
      <patternFill patternType="lightGray"/>
    </fill>
    <fill>
      <patternFill patternType="solid">
        <fgColor rgb="FFBDD7EE"/>
        <bgColor rgb="FFBDD7EE"/>
      </patternFill>
    </fill>
    <fill>
      <patternFill patternType="solid">
        <fgColor rgb="FFD6E4F0"/>
        <bgColor rgb="FFD6E4F0"/>
      </patternFill>
    </fill>
    <fill>
      <patternFill patternType="solid">
        <fgColor rgb="FFE2EFDA"/>
        <bgColor rgb="FFE2EFDA"/>
      </patternFill>
    </fill>
    <fill>
      <patternFill patternType="solid">
        <fgColor rgb="FF1F3864"/>
        <bgColor rgb="FF1F3864"/>
      </patternFill>
    </fill>
    <fill>
      <patternFill patternType="solid">
        <fgColor rgb="FF2E75B6"/>
        <bgColor rgb="FF2E75B6"/>
      </patternFill>
    </fill>
    <fill>
      <patternFill patternType="solid">
        <fgColor rgb="FFFFFF99"/>
        <bgColor rgb="FFFFFF99"/>
      </patternFill>
    </fill>
    <fill>
      <patternFill patternType="solid">
        <fgColor rgb="FFFFFFFF"/>
        <bgColor rgb="FFFFFFFF"/>
      </patternFill>
    </fill>
    <fill>
      <patternFill patternType="solid">
        <fgColor rgb="FFEBF3FB"/>
        <bgColor rgb="FFEBF3FB"/>
      </patternFill>
    </fill>
    <fill>
      <patternFill patternType="solid">
        <fgColor rgb="FFF2F2F2"/>
        <bgColor rgb="FFF2F2F2"/>
      </patternFill>
    </fill>
    <fill>
      <patternFill patternType="solid">
        <fgColor rgb="FFD9D2E9"/>
        <bgColor rgb="FFD9D2E9"/>
      </patternFill>
    </fill>
    <fill>
      <patternFill patternType="solid">
        <fgColor rgb="FFFFFF00"/>
        <bgColor rgb="FFFFFF00"/>
      </patternFill>
    </fill>
    <fill>
      <patternFill patternType="solid">
        <fgColor rgb="FFFAEAEA"/>
        <bgColor rgb="FFFAEAEA"/>
      </patternFill>
    </fill>
    <fill>
      <patternFill patternType="solid">
        <fgColor rgb="FFFCE4E4"/>
        <bgColor rgb="FFFCE4E4"/>
      </patternFill>
    </fill>
    <fill>
      <patternFill patternType="solid">
        <fgColor rgb="FFD9EAD3"/>
        <bgColor rgb="FFD9EAD3"/>
      </patternFill>
    </fill>
  </fills>
  <borders count="7">
    <border/>
    <border>
      <left style="thin">
        <color rgb="FFC0C0C0"/>
      </left>
      <right style="thin">
        <color rgb="FFC0C0C0"/>
      </right>
      <top style="thin">
        <color rgb="FFC0C0C0"/>
      </top>
      <bottom style="thin">
        <color rgb="FFC0C0C0"/>
      </bottom>
    </border>
    <border>
      <top style="thin">
        <color rgb="FFC0C0C0"/>
      </top>
      <bottom style="thin">
        <color rgb="FFC0C0C0"/>
      </bottom>
    </border>
    <border>
      <right style="thin">
        <color rgb="FFC0C0C0"/>
      </right>
      <top style="thin">
        <color rgb="FFC0C0C0"/>
      </top>
      <bottom style="thin">
        <color rgb="FFC0C0C0"/>
      </bottom>
    </border>
    <border>
      <left style="thin">
        <color rgb="FFC0C0C0"/>
      </left>
      <top style="thin">
        <color rgb="FFC0C0C0"/>
      </top>
      <bottom style="thin">
        <color rgb="FFC0C0C0"/>
      </bottom>
    </border>
    <border>
      <left style="thin">
        <color rgb="FFC0C0C0"/>
      </left>
      <right style="thin">
        <color rgb="FFC0C0C0"/>
      </right>
      <top style="thin">
        <color rgb="FFC0C0C0"/>
      </top>
    </border>
    <border>
      <left style="thin">
        <color rgb="FFC0C0C0"/>
      </left>
      <right style="thin">
        <color rgb="FFC0C0C0"/>
      </right>
      <bottom style="thin">
        <color rgb="FFC0C0C0"/>
      </bottom>
    </border>
  </borders>
  <cellStyleXfs count="1">
    <xf borderId="0" fillId="0" fontId="0" numFmtId="0" applyAlignment="1" applyFont="1"/>
  </cellStyleXfs>
  <cellXfs count="21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1" fillId="2" fontId="3" numFmtId="0" xfId="0" applyAlignment="1" applyBorder="1" applyFill="1" applyFont="1">
      <alignment shrinkToFit="0" wrapText="1"/>
    </xf>
    <xf borderId="1" fillId="2" fontId="3" numFmtId="0" xfId="0" applyAlignment="1" applyBorder="1" applyFont="1">
      <alignment shrinkToFit="0" vertical="bottom" wrapText="1"/>
    </xf>
    <xf borderId="1" fillId="3" fontId="3" numFmtId="0" xfId="0" applyAlignment="1" applyBorder="1" applyFill="1" applyFont="1">
      <alignment horizontal="center" shrinkToFit="0" wrapText="1"/>
    </xf>
    <xf borderId="1" fillId="4" fontId="4" numFmtId="0" xfId="0" applyAlignment="1" applyBorder="1" applyFill="1" applyFont="1">
      <alignment horizontal="center" shrinkToFit="0" wrapText="1"/>
    </xf>
    <xf borderId="1" fillId="4" fontId="5" numFmtId="0" xfId="0" applyAlignment="1" applyBorder="1" applyFont="1">
      <alignment horizontal="center" shrinkToFit="0" wrapText="1"/>
    </xf>
    <xf borderId="0" fillId="4" fontId="5" numFmtId="0" xfId="0" applyAlignment="1" applyFont="1">
      <alignment shrinkToFit="0" vertical="bottom" wrapText="1"/>
    </xf>
    <xf borderId="1" fillId="5" fontId="6" numFmtId="0" xfId="0" applyAlignment="1" applyBorder="1" applyFill="1" applyFont="1">
      <alignment shrinkToFit="0" wrapText="1"/>
    </xf>
    <xf borderId="2" fillId="5" fontId="1" numFmtId="0" xfId="0" applyAlignment="1" applyBorder="1" applyFont="1">
      <alignment shrinkToFit="0" wrapText="1"/>
    </xf>
    <xf borderId="3" fillId="5" fontId="1" numFmtId="0" xfId="0" applyAlignment="1" applyBorder="1" applyFont="1">
      <alignment shrinkToFit="0" vertical="bottom" wrapText="1"/>
    </xf>
    <xf borderId="1" fillId="5" fontId="1" numFmtId="0" xfId="0" applyAlignment="1" applyBorder="1" applyFont="1">
      <alignment shrinkToFit="0" wrapText="1"/>
    </xf>
    <xf borderId="1" fillId="5" fontId="1" numFmtId="0" xfId="0" applyAlignment="1" applyBorder="1" applyFont="1">
      <alignment readingOrder="0" shrinkToFit="0" wrapText="1"/>
    </xf>
    <xf borderId="0" fillId="0" fontId="1" numFmtId="0" xfId="0" applyAlignment="1" applyFont="1">
      <alignment shrinkToFit="0" vertical="bottom" wrapText="1"/>
    </xf>
    <xf borderId="1" fillId="6" fontId="7" numFmtId="0" xfId="0" applyAlignment="1" applyBorder="1" applyFill="1" applyFont="1">
      <alignment shrinkToFit="0" wrapText="1"/>
    </xf>
    <xf borderId="2" fillId="6" fontId="1" numFmtId="0" xfId="0" applyAlignment="1" applyBorder="1" applyFont="1">
      <alignment shrinkToFit="0" wrapText="1"/>
    </xf>
    <xf borderId="3" fillId="6" fontId="1" numFmtId="0" xfId="0" applyAlignment="1" applyBorder="1" applyFont="1">
      <alignment shrinkToFit="0" vertical="bottom" wrapText="1"/>
    </xf>
    <xf borderId="1" fillId="6" fontId="7" numFmtId="0" xfId="0" applyAlignment="1" applyBorder="1" applyFont="1">
      <alignment horizontal="center" shrinkToFit="0" wrapText="1"/>
    </xf>
    <xf borderId="1" fillId="6" fontId="7" numFmtId="0" xfId="0" applyAlignment="1" applyBorder="1" applyFont="1">
      <alignment horizontal="center" readingOrder="0" shrinkToFit="0" wrapText="1"/>
    </xf>
    <xf borderId="1" fillId="6" fontId="1" numFmtId="0" xfId="0" applyAlignment="1" applyBorder="1" applyFont="1">
      <alignment shrinkToFit="0" wrapText="1"/>
    </xf>
    <xf borderId="1" fillId="7" fontId="8" numFmtId="0" xfId="0" applyAlignment="1" applyBorder="1" applyFill="1" applyFont="1">
      <alignment shrinkToFit="0" wrapText="1"/>
    </xf>
    <xf borderId="1" fillId="7" fontId="1" numFmtId="0" xfId="0" applyAlignment="1" applyBorder="1" applyFont="1">
      <alignment shrinkToFit="0" wrapText="1"/>
    </xf>
    <xf borderId="1" fillId="7" fontId="1" numFmtId="0" xfId="0" applyAlignment="1" applyBorder="1" applyFont="1">
      <alignment shrinkToFit="0" vertical="bottom" wrapText="1"/>
    </xf>
    <xf borderId="1" fillId="7" fontId="1" numFmtId="0" xfId="0" applyAlignment="1" applyBorder="1" applyFont="1">
      <alignment horizontal="center" shrinkToFit="0" wrapText="1"/>
    </xf>
    <xf borderId="1" fillId="8" fontId="1" numFmtId="0" xfId="0" applyAlignment="1" applyBorder="1" applyFill="1" applyFont="1">
      <alignment shrinkToFit="0" wrapText="1"/>
    </xf>
    <xf borderId="1" fillId="8" fontId="1" numFmtId="0" xfId="0" applyAlignment="1" applyBorder="1" applyFont="1">
      <alignment readingOrder="0" shrinkToFit="0" wrapText="1"/>
    </xf>
    <xf borderId="0" fillId="0" fontId="9" numFmtId="0" xfId="0" applyAlignment="1" applyFont="1">
      <alignment readingOrder="0" shrinkToFit="0" vertical="bottom" wrapText="1"/>
    </xf>
    <xf borderId="0" fillId="0" fontId="10" numFmtId="0" xfId="0" applyAlignment="1" applyFont="1">
      <alignment readingOrder="0" shrinkToFit="0" vertical="bottom" wrapText="1"/>
    </xf>
    <xf borderId="1" fillId="9" fontId="11" numFmtId="0" xfId="0" applyAlignment="1" applyBorder="1" applyFill="1" applyFont="1">
      <alignment shrinkToFit="0" wrapText="1"/>
    </xf>
    <xf borderId="1" fillId="9" fontId="1" numFmtId="0" xfId="0" applyAlignment="1" applyBorder="1" applyFont="1">
      <alignment shrinkToFit="0" wrapText="1"/>
    </xf>
    <xf borderId="1" fillId="9" fontId="1" numFmtId="0" xfId="0" applyAlignment="1" applyBorder="1" applyFont="1">
      <alignment shrinkToFit="0" vertical="bottom" wrapText="1"/>
    </xf>
    <xf borderId="1" fillId="9" fontId="1" numFmtId="0" xfId="0" applyAlignment="1" applyBorder="1" applyFont="1">
      <alignment horizontal="center" readingOrder="0" shrinkToFit="0" wrapText="1"/>
    </xf>
    <xf borderId="1" fillId="9" fontId="1" numFmtId="0" xfId="0" applyAlignment="1" applyBorder="1" applyFont="1">
      <alignment horizontal="center" shrinkToFit="0" wrapText="1"/>
    </xf>
    <xf borderId="1" fillId="10" fontId="1" numFmtId="0" xfId="0" applyAlignment="1" applyBorder="1" applyFill="1" applyFont="1">
      <alignment shrinkToFit="0" wrapText="1"/>
    </xf>
    <xf borderId="1" fillId="8" fontId="12" numFmtId="0" xfId="0" applyAlignment="1" applyBorder="1" applyFont="1">
      <alignment shrinkToFit="0" wrapText="1"/>
    </xf>
    <xf borderId="1" fillId="8" fontId="1" numFmtId="0" xfId="0" applyAlignment="1" applyBorder="1" applyFont="1">
      <alignment shrinkToFit="0" vertical="bottom" wrapText="1"/>
    </xf>
    <xf borderId="1" fillId="8" fontId="1" numFmtId="0" xfId="0" applyAlignment="1" applyBorder="1" applyFont="1">
      <alignment horizontal="center" shrinkToFit="0" wrapText="1"/>
    </xf>
    <xf borderId="1" fillId="7" fontId="1" numFmtId="0" xfId="0" applyAlignment="1" applyBorder="1" applyFont="1">
      <alignment readingOrder="0" shrinkToFit="0" vertical="bottom" wrapText="1"/>
    </xf>
    <xf borderId="1" fillId="0" fontId="1" numFmtId="0" xfId="0" applyAlignment="1" applyBorder="1" applyFont="1">
      <alignment shrinkToFit="0" vertical="bottom" wrapText="1"/>
    </xf>
    <xf borderId="0" fillId="0" fontId="13" numFmtId="0" xfId="0" applyAlignment="1" applyFont="1">
      <alignment readingOrder="0" shrinkToFit="0" wrapText="1"/>
    </xf>
    <xf borderId="1" fillId="10" fontId="1" numFmtId="0" xfId="0" applyAlignment="1" applyBorder="1" applyFont="1">
      <alignment horizontal="center" shrinkToFit="0" wrapText="1"/>
    </xf>
    <xf borderId="1" fillId="10" fontId="14" numFmtId="0" xfId="0" applyAlignment="1" applyBorder="1" applyFont="1">
      <alignment horizontal="center" shrinkToFit="0" wrapText="1"/>
    </xf>
    <xf borderId="1" fillId="8" fontId="1" numFmtId="0" xfId="0" applyAlignment="1" applyBorder="1" applyFont="1">
      <alignment horizontal="center" readingOrder="0" shrinkToFit="0" wrapText="1"/>
    </xf>
    <xf borderId="1" fillId="7" fontId="1" numFmtId="0" xfId="0" applyAlignment="1" applyBorder="1" applyFont="1">
      <alignment horizontal="center" readingOrder="0" shrinkToFit="0" wrapText="1"/>
    </xf>
    <xf borderId="0" fillId="0" fontId="15" numFmtId="0" xfId="0" applyAlignment="1" applyFont="1">
      <alignment shrinkToFit="0" vertical="bottom" wrapText="1"/>
    </xf>
    <xf borderId="1" fillId="0" fontId="16" numFmtId="0" xfId="0" applyAlignment="1" applyBorder="1" applyFont="1">
      <alignment shrinkToFit="0" wrapText="1"/>
    </xf>
    <xf borderId="1" fillId="0" fontId="1" numFmtId="0" xfId="0" applyAlignment="1" applyBorder="1" applyFont="1">
      <alignment shrinkToFit="0" wrapText="1"/>
    </xf>
    <xf borderId="1" fillId="0" fontId="1" numFmtId="0" xfId="0" applyAlignment="1" applyBorder="1" applyFont="1">
      <alignment horizontal="center" shrinkToFit="0" wrapText="1"/>
    </xf>
    <xf borderId="1" fillId="0" fontId="1" numFmtId="0" xfId="0" applyAlignment="1" applyBorder="1" applyFont="1">
      <alignment horizontal="center" readingOrder="0" shrinkToFit="0" wrapText="1"/>
    </xf>
    <xf borderId="1" fillId="11" fontId="17" numFmtId="0" xfId="0" applyAlignment="1" applyBorder="1" applyFill="1" applyFont="1">
      <alignment shrinkToFit="0" wrapText="1"/>
    </xf>
    <xf borderId="1" fillId="11" fontId="1" numFmtId="0" xfId="0" applyAlignment="1" applyBorder="1" applyFont="1">
      <alignment shrinkToFit="0" wrapText="1"/>
    </xf>
    <xf borderId="1" fillId="11" fontId="1" numFmtId="0" xfId="0" applyAlignment="1" applyBorder="1" applyFont="1">
      <alignment shrinkToFit="0" vertical="bottom" wrapText="1"/>
    </xf>
    <xf borderId="1" fillId="11" fontId="1" numFmtId="0" xfId="0" applyAlignment="1" applyBorder="1" applyFont="1">
      <alignment horizontal="center" shrinkToFit="0" wrapText="1"/>
    </xf>
    <xf borderId="0" fillId="8" fontId="18" numFmtId="0" xfId="0" applyAlignment="1" applyFont="1">
      <alignment readingOrder="0" shrinkToFit="0" wrapText="1"/>
    </xf>
    <xf borderId="0" fillId="0" fontId="1" numFmtId="0" xfId="0" applyAlignment="1" applyFont="1">
      <alignment readingOrder="0" shrinkToFit="0" vertical="bottom" wrapText="1"/>
    </xf>
    <xf borderId="1" fillId="6" fontId="1" numFmtId="0" xfId="0" applyAlignment="1" applyBorder="1" applyFont="1">
      <alignment readingOrder="0" shrinkToFit="0" wrapText="1"/>
    </xf>
    <xf borderId="1" fillId="7" fontId="1" numFmtId="0" xfId="0" applyAlignment="1" applyBorder="1" applyFont="1">
      <alignment readingOrder="0" shrinkToFit="0" wrapText="1"/>
    </xf>
    <xf borderId="0" fillId="7" fontId="19" numFmtId="0" xfId="0" applyAlignment="1" applyFont="1">
      <alignment readingOrder="0" shrinkToFit="0" vertical="bottom" wrapText="1"/>
    </xf>
    <xf borderId="0" fillId="7" fontId="20" numFmtId="0" xfId="0" applyFont="1"/>
    <xf borderId="1" fillId="11" fontId="5" numFmtId="0" xfId="0" applyAlignment="1" applyBorder="1" applyFont="1">
      <alignment shrinkToFit="0" wrapText="1"/>
    </xf>
    <xf borderId="2" fillId="11" fontId="1" numFmtId="0" xfId="0" applyAlignment="1" applyBorder="1" applyFont="1">
      <alignment shrinkToFit="0" wrapText="1"/>
    </xf>
    <xf borderId="3" fillId="11" fontId="1" numFmtId="0" xfId="0" applyAlignment="1" applyBorder="1" applyFont="1">
      <alignment shrinkToFit="0" vertical="bottom" wrapText="1"/>
    </xf>
    <xf borderId="1" fillId="11" fontId="5" numFmtId="0" xfId="0" applyAlignment="1" applyBorder="1" applyFont="1">
      <alignment horizontal="center" shrinkToFit="0" wrapText="1"/>
    </xf>
    <xf borderId="0" fillId="0" fontId="1" numFmtId="0" xfId="0" applyAlignment="1" applyFont="1">
      <alignment readingOrder="0" shrinkToFit="0" vertical="bottom" wrapText="1"/>
    </xf>
    <xf borderId="1" fillId="11" fontId="1" numFmtId="0" xfId="0" applyAlignment="1" applyBorder="1" applyFont="1">
      <alignment readingOrder="0" shrinkToFit="0" wrapText="1"/>
    </xf>
    <xf borderId="1" fillId="7" fontId="21" numFmtId="0" xfId="0" applyAlignment="1" applyBorder="1" applyFont="1">
      <alignment shrinkToFit="0" wrapText="1"/>
    </xf>
    <xf borderId="0" fillId="7" fontId="1" numFmtId="0" xfId="0" applyAlignment="1" applyFont="1">
      <alignment shrinkToFit="0" vertical="bottom" wrapText="1"/>
    </xf>
    <xf borderId="1" fillId="11" fontId="22" numFmtId="0" xfId="0" applyAlignment="1" applyBorder="1" applyFont="1">
      <alignment shrinkToFit="0" wrapText="1"/>
    </xf>
    <xf borderId="1" fillId="5" fontId="6" numFmtId="0" xfId="0" applyAlignment="1" applyBorder="1" applyFont="1">
      <alignment shrinkToFit="0" vertical="bottom" wrapText="1"/>
    </xf>
    <xf borderId="2" fillId="5" fontId="1" numFmtId="0" xfId="0" applyAlignment="1" applyBorder="1" applyFont="1">
      <alignment shrinkToFit="0" vertical="bottom" wrapText="1"/>
    </xf>
    <xf borderId="1" fillId="5" fontId="1" numFmtId="0" xfId="0" applyAlignment="1" applyBorder="1" applyFont="1">
      <alignment horizontal="center" shrinkToFit="0" vertical="bottom" wrapText="1"/>
    </xf>
    <xf borderId="1" fillId="5" fontId="1" numFmtId="0" xfId="0" applyAlignment="1" applyBorder="1" applyFont="1">
      <alignment shrinkToFit="0" vertical="bottom" wrapText="1"/>
    </xf>
    <xf borderId="1" fillId="8" fontId="1" numFmtId="0" xfId="0" applyAlignment="1" applyBorder="1" applyFont="1">
      <alignment horizontal="center" shrinkToFit="0" vertical="bottom" wrapText="1"/>
    </xf>
    <xf borderId="1" fillId="11" fontId="23" numFmtId="0" xfId="0" applyAlignment="1" applyBorder="1" applyFont="1">
      <alignment shrinkToFit="0" vertical="bottom" wrapText="1"/>
    </xf>
    <xf borderId="1" fillId="11" fontId="1" numFmtId="0" xfId="0" applyAlignment="1" applyBorder="1" applyFont="1">
      <alignment horizontal="center" shrinkToFit="0" vertical="bottom" wrapText="1"/>
    </xf>
    <xf borderId="1" fillId="11" fontId="1" numFmtId="0" xfId="0" applyAlignment="1" applyBorder="1" applyFont="1">
      <alignment readingOrder="0" shrinkToFit="0" vertical="bottom" wrapText="1"/>
    </xf>
    <xf borderId="1" fillId="12" fontId="24" numFmtId="0" xfId="0" applyAlignment="1" applyBorder="1" applyFill="1" applyFont="1">
      <alignment shrinkToFit="0" wrapText="1"/>
    </xf>
    <xf borderId="1" fillId="12" fontId="25" numFmtId="0" xfId="0" applyAlignment="1" applyBorder="1" applyFont="1">
      <alignment readingOrder="0" shrinkToFit="0" wrapText="1"/>
    </xf>
    <xf borderId="1" fillId="12" fontId="1" numFmtId="0" xfId="0" applyAlignment="1" applyBorder="1" applyFont="1">
      <alignment shrinkToFit="0" wrapText="1"/>
    </xf>
    <xf borderId="1" fillId="12" fontId="1" numFmtId="0" xfId="0" applyAlignment="1" applyBorder="1" applyFont="1">
      <alignment shrinkToFit="0" vertical="bottom" wrapText="1"/>
    </xf>
    <xf borderId="1" fillId="12" fontId="1" numFmtId="0" xfId="0" applyAlignment="1" applyBorder="1" applyFont="1">
      <alignment horizontal="center" readingOrder="0" shrinkToFit="0" wrapText="1"/>
    </xf>
    <xf borderId="1" fillId="12" fontId="1" numFmtId="0" xfId="0" applyAlignment="1" applyBorder="1" applyFont="1">
      <alignment readingOrder="0" shrinkToFit="0" wrapText="1"/>
    </xf>
    <xf borderId="0" fillId="12" fontId="1" numFmtId="0" xfId="0" applyAlignment="1" applyFont="1">
      <alignment shrinkToFit="0" vertical="bottom" wrapText="1"/>
    </xf>
    <xf borderId="0" fillId="12" fontId="20" numFmtId="0" xfId="0" applyFont="1"/>
    <xf borderId="1" fillId="13" fontId="26" numFmtId="0" xfId="0" applyAlignment="1" applyBorder="1" applyFill="1" applyFont="1">
      <alignment shrinkToFit="0" wrapText="1"/>
    </xf>
    <xf borderId="1" fillId="13" fontId="1" numFmtId="0" xfId="0" applyAlignment="1" applyBorder="1" applyFont="1">
      <alignment shrinkToFit="0" wrapText="1"/>
    </xf>
    <xf borderId="1" fillId="13" fontId="1" numFmtId="0" xfId="0" applyAlignment="1" applyBorder="1" applyFont="1">
      <alignment shrinkToFit="0" vertical="bottom" wrapText="1"/>
    </xf>
    <xf borderId="1" fillId="13" fontId="1" numFmtId="0" xfId="0" applyAlignment="1" applyBorder="1" applyFont="1">
      <alignment horizontal="center" shrinkToFit="0" wrapText="1"/>
    </xf>
    <xf borderId="0" fillId="13" fontId="1" numFmtId="0" xfId="0" applyAlignment="1" applyFont="1">
      <alignment shrinkToFit="0" vertical="bottom" wrapText="1"/>
    </xf>
    <xf borderId="1" fillId="14" fontId="27" numFmtId="0" xfId="0" applyAlignment="1" applyBorder="1" applyFill="1" applyFont="1">
      <alignment shrinkToFit="0" wrapText="1"/>
    </xf>
    <xf borderId="1" fillId="14" fontId="1" numFmtId="0" xfId="0" applyAlignment="1" applyBorder="1" applyFont="1">
      <alignment shrinkToFit="0" wrapText="1"/>
    </xf>
    <xf borderId="1" fillId="14" fontId="1" numFmtId="0" xfId="0" applyAlignment="1" applyBorder="1" applyFont="1">
      <alignment shrinkToFit="0" vertical="bottom" wrapText="1"/>
    </xf>
    <xf borderId="1" fillId="14" fontId="1" numFmtId="0" xfId="0" applyAlignment="1" applyBorder="1" applyFont="1">
      <alignment horizontal="center" shrinkToFit="0" wrapText="1"/>
    </xf>
    <xf borderId="1" fillId="6" fontId="1" numFmtId="0" xfId="0" applyAlignment="1" applyBorder="1" applyFont="1">
      <alignment horizontal="center"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0" fillId="0" fontId="20" numFmtId="0" xfId="0" applyAlignment="1" applyFont="1">
      <alignment shrinkToFit="0" wrapText="1"/>
    </xf>
    <xf borderId="0" fillId="7" fontId="28" numFmtId="0" xfId="0" applyAlignment="1" applyFont="1">
      <alignment readingOrder="0" shrinkToFit="0" vertical="bottom" wrapText="1"/>
    </xf>
    <xf borderId="0" fillId="7" fontId="1" numFmtId="0" xfId="0" applyAlignment="1" applyFont="1">
      <alignment readingOrder="0" shrinkToFit="0" vertical="bottom" wrapText="1"/>
    </xf>
    <xf borderId="0" fillId="7" fontId="29" numFmtId="0" xfId="0" applyAlignment="1" applyFont="1">
      <alignment shrinkToFit="0" vertical="bottom" wrapText="1"/>
    </xf>
    <xf borderId="0" fillId="0" fontId="20" numFmtId="0" xfId="0" applyAlignment="1" applyFont="1">
      <alignment readingOrder="0" shrinkToFit="0" wrapText="1"/>
    </xf>
    <xf borderId="0" fillId="0" fontId="3" numFmtId="0" xfId="0" applyFont="1"/>
    <xf borderId="0" fillId="0" fontId="1" numFmtId="0" xfId="0" applyFont="1"/>
    <xf borderId="0" fillId="0" fontId="3" numFmtId="0" xfId="0" applyAlignment="1" applyFont="1">
      <alignment horizontal="center" shrinkToFit="0" wrapText="1"/>
    </xf>
    <xf borderId="1" fillId="2" fontId="3" numFmtId="0" xfId="0" applyBorder="1" applyFont="1"/>
    <xf borderId="1" fillId="3" fontId="3" numFmtId="0" xfId="0" applyAlignment="1" applyBorder="1" applyFont="1">
      <alignment horizontal="center" readingOrder="0" shrinkToFit="0" wrapText="1"/>
    </xf>
    <xf borderId="1" fillId="5" fontId="6" numFmtId="0" xfId="0" applyBorder="1" applyFont="1"/>
    <xf borderId="2" fillId="5" fontId="1" numFmtId="0" xfId="0" applyBorder="1" applyFont="1"/>
    <xf borderId="3" fillId="5" fontId="1" numFmtId="0" xfId="0" applyBorder="1" applyFont="1"/>
    <xf borderId="1" fillId="5" fontId="30" numFmtId="0" xfId="0" applyAlignment="1" applyBorder="1" applyFont="1">
      <alignment horizontal="center"/>
    </xf>
    <xf borderId="1" fillId="5" fontId="1" numFmtId="0" xfId="0" applyBorder="1" applyFont="1"/>
    <xf borderId="1" fillId="6" fontId="7" numFmtId="0" xfId="0" applyBorder="1" applyFont="1"/>
    <xf borderId="2" fillId="6" fontId="1" numFmtId="0" xfId="0" applyBorder="1" applyFont="1"/>
    <xf borderId="3" fillId="6" fontId="1" numFmtId="0" xfId="0" applyBorder="1" applyFont="1"/>
    <xf borderId="1" fillId="6" fontId="7" numFmtId="0" xfId="0" applyAlignment="1" applyBorder="1" applyFont="1">
      <alignment horizontal="center"/>
    </xf>
    <xf borderId="1" fillId="6" fontId="1" numFmtId="0" xfId="0" applyBorder="1" applyFont="1"/>
    <xf borderId="1" fillId="9" fontId="31" numFmtId="0" xfId="0" applyBorder="1" applyFont="1"/>
    <xf borderId="1" fillId="9" fontId="1" numFmtId="0" xfId="0" applyAlignment="1" applyBorder="1" applyFont="1">
      <alignment horizontal="center"/>
    </xf>
    <xf borderId="1" fillId="9" fontId="32" numFmtId="0" xfId="0" applyAlignment="1" applyBorder="1" applyFont="1">
      <alignment readingOrder="0"/>
    </xf>
    <xf borderId="1" fillId="8" fontId="33" numFmtId="0" xfId="0" applyBorder="1" applyFont="1"/>
    <xf borderId="1" fillId="8" fontId="1" numFmtId="0" xfId="0" applyAlignment="1" applyBorder="1" applyFont="1">
      <alignment horizontal="center"/>
    </xf>
    <xf borderId="1" fillId="14" fontId="34" numFmtId="0" xfId="0" applyBorder="1" applyFont="1"/>
    <xf borderId="1" fillId="14" fontId="1" numFmtId="0" xfId="0" applyAlignment="1" applyBorder="1" applyFont="1">
      <alignment horizontal="center"/>
    </xf>
    <xf borderId="1" fillId="14" fontId="1" numFmtId="0" xfId="0" applyBorder="1" applyFont="1"/>
    <xf borderId="1" fillId="0" fontId="35" numFmtId="0" xfId="0" applyBorder="1" applyFont="1"/>
    <xf borderId="1" fillId="0" fontId="1" numFmtId="0" xfId="0" applyAlignment="1" applyBorder="1" applyFont="1">
      <alignment horizontal="center" readingOrder="0"/>
    </xf>
    <xf borderId="1" fillId="0" fontId="1" numFmtId="0" xfId="0" applyBorder="1" applyFont="1"/>
    <xf borderId="0" fillId="14" fontId="36" numFmtId="0" xfId="0" applyAlignment="1" applyFont="1">
      <alignment vertical="bottom"/>
    </xf>
    <xf borderId="0" fillId="14" fontId="1" numFmtId="0" xfId="0" applyAlignment="1" applyFont="1">
      <alignment vertical="bottom"/>
    </xf>
    <xf borderId="0" fillId="14" fontId="1" numFmtId="0" xfId="0" applyAlignment="1" applyFont="1">
      <alignment horizontal="center" vertical="bottom"/>
    </xf>
    <xf borderId="0" fillId="0" fontId="37" numFmtId="0" xfId="0" applyAlignment="1" applyFont="1">
      <alignment vertical="bottom"/>
    </xf>
    <xf borderId="0" fillId="0" fontId="1" numFmtId="0" xfId="0" applyAlignment="1" applyFont="1">
      <alignment horizontal="center" readingOrder="0" vertical="bottom"/>
    </xf>
    <xf borderId="1" fillId="8" fontId="1" numFmtId="0" xfId="0" applyBorder="1" applyFont="1"/>
    <xf borderId="1" fillId="9" fontId="1" numFmtId="0" xfId="0" applyBorder="1" applyFont="1"/>
    <xf borderId="0" fillId="0" fontId="38" numFmtId="0" xfId="0" applyAlignment="1" applyFont="1">
      <alignment vertical="bottom"/>
    </xf>
    <xf borderId="0" fillId="0" fontId="1" numFmtId="0" xfId="0" applyAlignment="1" applyFont="1">
      <alignment horizontal="center" vertical="bottom"/>
    </xf>
    <xf borderId="1" fillId="11" fontId="39" numFmtId="0" xfId="0" applyBorder="1" applyFont="1"/>
    <xf borderId="1" fillId="11" fontId="1" numFmtId="0" xfId="0" applyAlignment="1" applyBorder="1" applyFont="1">
      <alignment horizontal="center"/>
    </xf>
    <xf borderId="1" fillId="11" fontId="1" numFmtId="0" xfId="0" applyBorder="1" applyFont="1"/>
    <xf borderId="0" fillId="11" fontId="40" numFmtId="0" xfId="0" applyAlignment="1" applyFont="1">
      <alignment vertical="bottom"/>
    </xf>
    <xf borderId="0" fillId="11" fontId="1" numFmtId="0" xfId="0" applyAlignment="1" applyFont="1">
      <alignment vertical="bottom"/>
    </xf>
    <xf borderId="1" fillId="9" fontId="1" numFmtId="0" xfId="0" applyAlignment="1" applyBorder="1" applyFont="1">
      <alignment readingOrder="0"/>
    </xf>
    <xf borderId="1" fillId="14" fontId="5" numFmtId="0" xfId="0" applyBorder="1" applyFont="1"/>
    <xf borderId="2" fillId="14" fontId="1" numFmtId="0" xfId="0" applyBorder="1" applyFont="1"/>
    <xf borderId="3" fillId="14" fontId="1" numFmtId="0" xfId="0" applyBorder="1" applyFont="1"/>
    <xf borderId="1" fillId="14" fontId="5" numFmtId="0" xfId="0" applyAlignment="1" applyBorder="1" applyFont="1">
      <alignment horizontal="center"/>
    </xf>
    <xf borderId="1" fillId="15" fontId="41" numFmtId="0" xfId="0" applyBorder="1" applyFill="1" applyFont="1"/>
    <xf borderId="1" fillId="15" fontId="1" numFmtId="0" xfId="0" applyAlignment="1" applyBorder="1" applyFont="1">
      <alignment shrinkToFit="0" wrapText="1"/>
    </xf>
    <xf borderId="1" fillId="15" fontId="1" numFmtId="0" xfId="0" applyAlignment="1" applyBorder="1" applyFont="1">
      <alignment horizontal="center"/>
    </xf>
    <xf borderId="1" fillId="15" fontId="1" numFmtId="0" xfId="0" applyBorder="1" applyFont="1"/>
    <xf borderId="1" fillId="6" fontId="7" numFmtId="0" xfId="0" applyAlignment="1" applyBorder="1" applyFont="1">
      <alignment vertical="bottom"/>
    </xf>
    <xf borderId="2" fillId="6" fontId="1" numFmtId="0" xfId="0" applyAlignment="1" applyBorder="1" applyFont="1">
      <alignment vertical="bottom"/>
    </xf>
    <xf borderId="3" fillId="6" fontId="1" numFmtId="0" xfId="0" applyAlignment="1" applyBorder="1" applyFont="1">
      <alignment vertical="bottom"/>
    </xf>
    <xf borderId="1" fillId="6" fontId="7" numFmtId="0" xfId="0" applyAlignment="1" applyBorder="1" applyFont="1">
      <alignment horizontal="center" vertical="bottom"/>
    </xf>
    <xf borderId="1" fillId="6" fontId="1" numFmtId="0" xfId="0" applyAlignment="1" applyBorder="1" applyFont="1">
      <alignment vertical="bottom"/>
    </xf>
    <xf borderId="1" fillId="8" fontId="42" numFmtId="0" xfId="0" applyAlignment="1" applyBorder="1" applyFont="1">
      <alignment vertical="bottom"/>
    </xf>
    <xf borderId="1" fillId="8" fontId="1" numFmtId="0" xfId="0" applyAlignment="1" applyBorder="1" applyFont="1">
      <alignment horizontal="center" vertical="bottom"/>
    </xf>
    <xf borderId="1" fillId="8" fontId="1" numFmtId="0" xfId="0" applyAlignment="1" applyBorder="1" applyFont="1">
      <alignment vertical="bottom"/>
    </xf>
    <xf borderId="1" fillId="9" fontId="43" numFmtId="0" xfId="0" applyAlignment="1" applyBorder="1" applyFont="1">
      <alignment vertical="bottom"/>
    </xf>
    <xf borderId="1" fillId="9" fontId="1" numFmtId="0" xfId="0" applyAlignment="1" applyBorder="1" applyFont="1">
      <alignment horizontal="center" vertical="bottom"/>
    </xf>
    <xf borderId="1" fillId="9" fontId="1" numFmtId="0" xfId="0" applyAlignment="1" applyBorder="1" applyFont="1">
      <alignment vertical="bottom"/>
    </xf>
    <xf borderId="1" fillId="14" fontId="44" numFmtId="0" xfId="0" applyAlignment="1" applyBorder="1" applyFont="1">
      <alignment vertical="bottom"/>
    </xf>
    <xf borderId="1" fillId="14" fontId="1" numFmtId="0" xfId="0" applyAlignment="1" applyBorder="1" applyFont="1">
      <alignment horizontal="center" vertical="bottom"/>
    </xf>
    <xf borderId="1" fillId="14" fontId="1" numFmtId="0" xfId="0" applyAlignment="1" applyBorder="1" applyFont="1">
      <alignment vertical="bottom"/>
    </xf>
    <xf borderId="1" fillId="14" fontId="5" numFmtId="0" xfId="0" applyAlignment="1" applyBorder="1" applyFont="1">
      <alignment vertical="bottom"/>
    </xf>
    <xf borderId="2" fillId="14" fontId="1" numFmtId="0" xfId="0" applyAlignment="1" applyBorder="1" applyFont="1">
      <alignment vertical="bottom"/>
    </xf>
    <xf borderId="3" fillId="14" fontId="1" numFmtId="0" xfId="0" applyAlignment="1" applyBorder="1" applyFont="1">
      <alignment vertical="bottom"/>
    </xf>
    <xf borderId="1" fillId="14" fontId="5" numFmtId="0" xfId="0" applyAlignment="1" applyBorder="1" applyFont="1">
      <alignment horizontal="center" vertical="bottom"/>
    </xf>
    <xf borderId="1" fillId="5" fontId="45" numFmtId="0" xfId="0" applyAlignment="1" applyBorder="1" applyFont="1">
      <alignment horizontal="center"/>
    </xf>
    <xf borderId="1" fillId="14" fontId="46" numFmtId="0" xfId="0" applyBorder="1" applyFont="1"/>
    <xf borderId="1" fillId="14" fontId="47" numFmtId="0" xfId="0" applyAlignment="1" applyBorder="1" applyFont="1">
      <alignment shrinkToFit="0" wrapText="1"/>
    </xf>
    <xf borderId="0" fillId="0" fontId="20" numFmtId="0" xfId="0" applyAlignment="1" applyFont="1">
      <alignment readingOrder="0"/>
    </xf>
    <xf borderId="0" fillId="2" fontId="1" numFmtId="0" xfId="0" applyAlignment="1" applyFont="1">
      <alignment shrinkToFit="0" wrapText="1"/>
    </xf>
    <xf borderId="0" fillId="3" fontId="1" numFmtId="0" xfId="0" applyAlignment="1" applyFont="1">
      <alignment shrinkToFit="0" wrapText="1"/>
    </xf>
    <xf borderId="0" fillId="4" fontId="1" numFmtId="0" xfId="0" applyAlignment="1" applyFont="1">
      <alignment shrinkToFit="0" wrapText="1"/>
    </xf>
    <xf borderId="0" fillId="4" fontId="1" numFmtId="0" xfId="0" applyAlignment="1" applyFont="1">
      <alignment shrinkToFit="0" vertical="bottom" wrapText="1"/>
    </xf>
    <xf borderId="1" fillId="4" fontId="4" numFmtId="0" xfId="0" applyAlignment="1" applyBorder="1" applyFont="1">
      <alignment shrinkToFit="0" wrapText="1"/>
    </xf>
    <xf borderId="4" fillId="5" fontId="6" numFmtId="0" xfId="0" applyAlignment="1" applyBorder="1" applyFont="1">
      <alignment shrinkToFit="0" wrapText="1"/>
    </xf>
    <xf borderId="2" fillId="0" fontId="48" numFmtId="0" xfId="0" applyBorder="1" applyFont="1"/>
    <xf borderId="3" fillId="0" fontId="48" numFmtId="0" xfId="0" applyBorder="1" applyFont="1"/>
    <xf borderId="4" fillId="6" fontId="7" numFmtId="0" xfId="0" applyAlignment="1" applyBorder="1" applyFont="1">
      <alignment shrinkToFit="0" wrapText="1"/>
    </xf>
    <xf borderId="1" fillId="8" fontId="1" numFmtId="0" xfId="0" applyAlignment="1" applyBorder="1" applyFont="1">
      <alignment readingOrder="0" shrinkToFit="0" vertical="bottom" wrapText="1"/>
    </xf>
    <xf borderId="1" fillId="8" fontId="49" numFmtId="0" xfId="0" applyAlignment="1" applyBorder="1" applyFont="1">
      <alignment readingOrder="0" shrinkToFit="0" wrapText="1"/>
    </xf>
    <xf borderId="1" fillId="8" fontId="50" numFmtId="0" xfId="0" applyAlignment="1" applyBorder="1" applyFont="1">
      <alignment shrinkToFit="0" wrapText="1"/>
    </xf>
    <xf borderId="1" fillId="10" fontId="1" numFmtId="0" xfId="0" applyAlignment="1" applyBorder="1" applyFont="1">
      <alignment vertical="bottom"/>
    </xf>
    <xf borderId="1" fillId="10" fontId="1" numFmtId="0" xfId="0" applyBorder="1" applyFont="1"/>
    <xf borderId="1" fillId="9" fontId="51" numFmtId="0" xfId="0" applyAlignment="1" applyBorder="1" applyFont="1">
      <alignment shrinkToFit="0" wrapText="1"/>
    </xf>
    <xf borderId="1" fillId="10" fontId="1" numFmtId="0" xfId="0" applyAlignment="1" applyBorder="1" applyFont="1">
      <alignment readingOrder="0" vertical="bottom"/>
    </xf>
    <xf borderId="1" fillId="10" fontId="52" numFmtId="0" xfId="0" applyAlignment="1" applyBorder="1" applyFont="1">
      <alignment readingOrder="0"/>
    </xf>
    <xf borderId="1" fillId="8" fontId="53" numFmtId="0" xfId="0" applyAlignment="1" applyBorder="1" applyFont="1">
      <alignment readingOrder="0" shrinkToFit="0" wrapText="1"/>
    </xf>
    <xf borderId="1" fillId="8" fontId="1" numFmtId="0" xfId="0" applyAlignment="1" applyBorder="1" applyFont="1">
      <alignment readingOrder="0" vertical="bottom"/>
    </xf>
    <xf borderId="1" fillId="11" fontId="54" numFmtId="0" xfId="0" applyAlignment="1" applyBorder="1" applyFont="1">
      <alignment shrinkToFit="0" wrapText="1"/>
    </xf>
    <xf borderId="0" fillId="0" fontId="55" numFmtId="0" xfId="0" applyAlignment="1" applyFont="1">
      <alignment readingOrder="0" shrinkToFit="0" wrapText="1"/>
    </xf>
    <xf borderId="1" fillId="6" fontId="1" numFmtId="0" xfId="0" applyAlignment="1" applyBorder="1" applyFont="1">
      <alignment readingOrder="0"/>
    </xf>
    <xf borderId="1" fillId="8" fontId="56" numFmtId="0" xfId="0" applyAlignment="1" applyBorder="1" applyFont="1">
      <alignment horizontal="center" shrinkToFit="0" wrapText="1"/>
    </xf>
    <xf borderId="5" fillId="8" fontId="1" numFmtId="0" xfId="0" applyAlignment="1" applyBorder="1" applyFont="1">
      <alignment readingOrder="0" shrinkToFit="0" wrapText="1"/>
    </xf>
    <xf borderId="6" fillId="0" fontId="48" numFmtId="0" xfId="0" applyBorder="1" applyFont="1"/>
    <xf borderId="1" fillId="8" fontId="57" numFmtId="0" xfId="0" applyAlignment="1" applyBorder="1" applyFont="1">
      <alignment horizontal="center" readingOrder="0" shrinkToFit="0" wrapText="1"/>
    </xf>
    <xf borderId="1" fillId="0" fontId="58" numFmtId="0" xfId="0" applyAlignment="1" applyBorder="1" applyFont="1">
      <alignment shrinkToFit="0" wrapText="1"/>
    </xf>
    <xf borderId="1" fillId="0" fontId="1" numFmtId="0" xfId="0" applyAlignment="1" applyBorder="1" applyFont="1">
      <alignment horizontal="center"/>
    </xf>
    <xf borderId="1" fillId="0" fontId="1" numFmtId="0" xfId="0" applyAlignment="1" applyBorder="1" applyFont="1">
      <alignment vertical="bottom"/>
    </xf>
    <xf borderId="1" fillId="7" fontId="59" numFmtId="0" xfId="0" applyAlignment="1" applyBorder="1" applyFont="1">
      <alignment shrinkToFit="0" wrapText="1"/>
    </xf>
    <xf borderId="1" fillId="7" fontId="1" numFmtId="0" xfId="0" applyBorder="1" applyFont="1"/>
    <xf borderId="1" fillId="7" fontId="1" numFmtId="0" xfId="0" applyAlignment="1" applyBorder="1" applyFont="1">
      <alignment horizontal="center"/>
    </xf>
    <xf borderId="1" fillId="7" fontId="1" numFmtId="0" xfId="0" applyAlignment="1" applyBorder="1" applyFont="1">
      <alignment vertical="bottom"/>
    </xf>
    <xf borderId="1" fillId="11" fontId="60" numFmtId="0" xfId="0" applyAlignment="1" applyBorder="1" applyFont="1">
      <alignment horizontal="center" shrinkToFit="0" wrapText="1"/>
    </xf>
    <xf borderId="1" fillId="11" fontId="61" numFmtId="0" xfId="0" applyAlignment="1" applyBorder="1" applyFont="1">
      <alignment readingOrder="0" shrinkToFit="0" wrapText="1"/>
    </xf>
    <xf borderId="1" fillId="10" fontId="62" numFmtId="0" xfId="0" applyAlignment="1" applyBorder="1" applyFont="1">
      <alignment readingOrder="0" shrinkToFit="0" wrapText="1"/>
    </xf>
    <xf borderId="1" fillId="10" fontId="63" numFmtId="0" xfId="0" applyAlignment="1" applyBorder="1" applyFont="1">
      <alignment readingOrder="0" shrinkToFit="0" wrapText="1"/>
    </xf>
    <xf borderId="1" fillId="10" fontId="1" numFmtId="0" xfId="0" applyAlignment="1" applyBorder="1" applyFont="1">
      <alignment readingOrder="0" shrinkToFit="0" vertical="bottom" wrapText="1"/>
    </xf>
    <xf borderId="1" fillId="10" fontId="1" numFmtId="0" xfId="0" applyAlignment="1" applyBorder="1" applyFont="1">
      <alignment readingOrder="0" shrinkToFit="0" wrapText="1"/>
    </xf>
    <xf borderId="1" fillId="10" fontId="14" numFmtId="0" xfId="0" applyBorder="1" applyFont="1"/>
    <xf borderId="1" fillId="9" fontId="1" numFmtId="0" xfId="0" applyAlignment="1" applyBorder="1" applyFont="1">
      <alignment readingOrder="0" shrinkToFit="0" wrapText="1"/>
    </xf>
    <xf borderId="1" fillId="11" fontId="14" numFmtId="0" xfId="0" applyAlignment="1" applyBorder="1" applyFont="1">
      <alignment shrinkToFit="0" wrapText="1"/>
    </xf>
    <xf borderId="0" fillId="0" fontId="64" numFmtId="0" xfId="0" applyFont="1"/>
    <xf borderId="1" fillId="8" fontId="14" numFmtId="0" xfId="0" applyBorder="1"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rivateuse1.i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pytorch/pytorch/pull/185156" TargetMode="External"/><Relationship Id="rId42" Type="http://schemas.openxmlformats.org/officeDocument/2006/relationships/hyperlink" Target="https://github.com/pytorch/pytorch/pull/185156" TargetMode="External"/><Relationship Id="rId41" Type="http://schemas.openxmlformats.org/officeDocument/2006/relationships/hyperlink" Target="https://github.com/pytorch/pytorch/pull/185156" TargetMode="External"/><Relationship Id="rId44" Type="http://schemas.openxmlformats.org/officeDocument/2006/relationships/hyperlink" Target="https://github.com/pytorch/pytorch/pull/185648" TargetMode="External"/><Relationship Id="rId43" Type="http://schemas.openxmlformats.org/officeDocument/2006/relationships/hyperlink" Target="https://github.com/pytorch/pytorch/pull/185156" TargetMode="External"/><Relationship Id="rId46" Type="http://schemas.openxmlformats.org/officeDocument/2006/relationships/hyperlink" Target="https://github.com/pytorch/pytorch/pull/185648" TargetMode="External"/><Relationship Id="rId45" Type="http://schemas.openxmlformats.org/officeDocument/2006/relationships/hyperlink" Target="https://github.com/pytorch/pytorch/pull/185648" TargetMode="External"/><Relationship Id="rId1" Type="http://schemas.openxmlformats.org/officeDocument/2006/relationships/hyperlink" Target="https://github.com/pytorch/pytorch/pull/176593" TargetMode="External"/><Relationship Id="rId2" Type="http://schemas.openxmlformats.org/officeDocument/2006/relationships/hyperlink" Target="https://github.com/pytorch/pytorch/pull/176593" TargetMode="External"/><Relationship Id="rId3" Type="http://schemas.openxmlformats.org/officeDocument/2006/relationships/hyperlink" Target="https://github.com/pytorch/pytorch/pull/176593)" TargetMode="External"/><Relationship Id="rId4" Type="http://schemas.openxmlformats.org/officeDocument/2006/relationships/hyperlink" Target="https://github.com/pytorch/pytorch/pull/176717" TargetMode="External"/><Relationship Id="rId9" Type="http://schemas.openxmlformats.org/officeDocument/2006/relationships/hyperlink" Target="https://github.com/pytorch/pytorch/pull/184548" TargetMode="External"/><Relationship Id="rId48" Type="http://schemas.openxmlformats.org/officeDocument/2006/relationships/hyperlink" Target="https://github.com/pytorch/pytorch/pull/185648" TargetMode="External"/><Relationship Id="rId47" Type="http://schemas.openxmlformats.org/officeDocument/2006/relationships/hyperlink" Target="https://github.com/pytorch/pytorch/pull/185648" TargetMode="External"/><Relationship Id="rId49" Type="http://schemas.openxmlformats.org/officeDocument/2006/relationships/hyperlink" Target="https://github.com/pytorch/pytorch/pull/185053" TargetMode="External"/><Relationship Id="rId5" Type="http://schemas.openxmlformats.org/officeDocument/2006/relationships/hyperlink" Target="https://github.com/pytorch/pytorch/pull/185189" TargetMode="External"/><Relationship Id="rId6" Type="http://schemas.openxmlformats.org/officeDocument/2006/relationships/hyperlink" Target="https://github.com/pytorch/pytorch/pull/184559" TargetMode="External"/><Relationship Id="rId7" Type="http://schemas.openxmlformats.org/officeDocument/2006/relationships/hyperlink" Target="https://github.com/pytorch/pytorch/pull/184570" TargetMode="External"/><Relationship Id="rId8" Type="http://schemas.openxmlformats.org/officeDocument/2006/relationships/hyperlink" Target="https://github.com/pytorch/pytorch/pull/184162" TargetMode="External"/><Relationship Id="rId31" Type="http://schemas.openxmlformats.org/officeDocument/2006/relationships/hyperlink" Target="https://github.com/pytorch/pytorch/pull/183586" TargetMode="External"/><Relationship Id="rId30" Type="http://schemas.openxmlformats.org/officeDocument/2006/relationships/hyperlink" Target="https://github.com/pytorch/pytorch/pull/183874" TargetMode="External"/><Relationship Id="rId33" Type="http://schemas.openxmlformats.org/officeDocument/2006/relationships/hyperlink" Target="https://github.com/pytorch/pytorch/pull/184261" TargetMode="External"/><Relationship Id="rId32" Type="http://schemas.openxmlformats.org/officeDocument/2006/relationships/hyperlink" Target="https://github.com/pytorch/pytorch/pull/185251" TargetMode="External"/><Relationship Id="rId35" Type="http://schemas.openxmlformats.org/officeDocument/2006/relationships/hyperlink" Target="https://github.com/pytorch./pytorch/pulls/178849" TargetMode="External"/><Relationship Id="rId34" Type="http://schemas.openxmlformats.org/officeDocument/2006/relationships/hyperlink" Target="https://github.com/pytorch./pytorch/pulls/178849" TargetMode="External"/><Relationship Id="rId37" Type="http://schemas.openxmlformats.org/officeDocument/2006/relationships/hyperlink" Target="https://github.com/pytorch./pytorch/pulls/178849" TargetMode="External"/><Relationship Id="rId36" Type="http://schemas.openxmlformats.org/officeDocument/2006/relationships/hyperlink" Target="https://github.com/pytorch./pytorch/pulls/178849" TargetMode="External"/><Relationship Id="rId39" Type="http://schemas.openxmlformats.org/officeDocument/2006/relationships/hyperlink" Target="https://github.com/pytorch/pytorch/pull/185156" TargetMode="External"/><Relationship Id="rId38" Type="http://schemas.openxmlformats.org/officeDocument/2006/relationships/hyperlink" Target="https://github.com/pytorch/pytorch/pull/185068" TargetMode="External"/><Relationship Id="rId20" Type="http://schemas.openxmlformats.org/officeDocument/2006/relationships/hyperlink" Target="https://github.com/pytorch/pytorch/pull/184742" TargetMode="External"/><Relationship Id="rId22" Type="http://schemas.openxmlformats.org/officeDocument/2006/relationships/hyperlink" Target="https://github.com/pytorch/pytorch/pull/184241" TargetMode="External"/><Relationship Id="rId21" Type="http://schemas.openxmlformats.org/officeDocument/2006/relationships/hyperlink" Target="https://github.com/pytorch/pytorch/pull/185127" TargetMode="External"/><Relationship Id="rId24" Type="http://schemas.openxmlformats.org/officeDocument/2006/relationships/hyperlink" Target="https://github.com/pytorch/pytorch/pull/183910" TargetMode="External"/><Relationship Id="rId23" Type="http://schemas.openxmlformats.org/officeDocument/2006/relationships/hyperlink" Target="https://github.com/pytorch/pytorch/pull/184163" TargetMode="External"/><Relationship Id="rId26" Type="http://schemas.openxmlformats.org/officeDocument/2006/relationships/hyperlink" Target="https://github.com/pytorch/pytorch/pull/184192" TargetMode="External"/><Relationship Id="rId25" Type="http://schemas.openxmlformats.org/officeDocument/2006/relationships/hyperlink" Target="https://github.com/pytorch/pytorch/pull/183910" TargetMode="External"/><Relationship Id="rId28" Type="http://schemas.openxmlformats.org/officeDocument/2006/relationships/hyperlink" Target="https://github.com/pytorch/pytorch/pull/184661" TargetMode="External"/><Relationship Id="rId27" Type="http://schemas.openxmlformats.org/officeDocument/2006/relationships/hyperlink" Target="https://github.com/pytorch/pytorch/pull/184661" TargetMode="External"/><Relationship Id="rId29" Type="http://schemas.openxmlformats.org/officeDocument/2006/relationships/hyperlink" Target="https://github.com/pytorch/pytorch/pull/183728" TargetMode="External"/><Relationship Id="rId51" Type="http://schemas.openxmlformats.org/officeDocument/2006/relationships/hyperlink" Target="https://github.com/pytorch/pytorch/pull/184737" TargetMode="External"/><Relationship Id="rId50" Type="http://schemas.openxmlformats.org/officeDocument/2006/relationships/hyperlink" Target="https://github.com/pytorch/pytorch/pull/185053" TargetMode="External"/><Relationship Id="rId53" Type="http://schemas.openxmlformats.org/officeDocument/2006/relationships/hyperlink" Target="https://github.com/pytorch/pytorch/pull/184718" TargetMode="External"/><Relationship Id="rId52" Type="http://schemas.openxmlformats.org/officeDocument/2006/relationships/hyperlink" Target="https://github.com/pytorch/pytorch/pull/185266" TargetMode="External"/><Relationship Id="rId11" Type="http://schemas.openxmlformats.org/officeDocument/2006/relationships/hyperlink" Target="https://github.com/pytorch/pytorch/pull/174364" TargetMode="External"/><Relationship Id="rId55" Type="http://schemas.openxmlformats.org/officeDocument/2006/relationships/hyperlink" Target="https://github.com/pytorch/pytorch/pull/184326" TargetMode="External"/><Relationship Id="rId10" Type="http://schemas.openxmlformats.org/officeDocument/2006/relationships/hyperlink" Target="https://github.com/pytorch/pytorch/pull/184719" TargetMode="External"/><Relationship Id="rId54" Type="http://schemas.openxmlformats.org/officeDocument/2006/relationships/hyperlink" Target="https://github.com/pytorch/pytorch/pull/184718" TargetMode="External"/><Relationship Id="rId13" Type="http://schemas.openxmlformats.org/officeDocument/2006/relationships/hyperlink" Target="https://github.com/pytorch/pytorch/pull/184593" TargetMode="External"/><Relationship Id="rId57" Type="http://schemas.openxmlformats.org/officeDocument/2006/relationships/hyperlink" Target="https://github.com/pytorch/pytorch/pull/184771" TargetMode="External"/><Relationship Id="rId12" Type="http://schemas.openxmlformats.org/officeDocument/2006/relationships/hyperlink" Target="https://github.com/pytorch/pytorch/pull/174364" TargetMode="External"/><Relationship Id="rId56" Type="http://schemas.openxmlformats.org/officeDocument/2006/relationships/hyperlink" Target="https://github.com/pytorch/pytorch/pull/185209" TargetMode="External"/><Relationship Id="rId15" Type="http://schemas.openxmlformats.org/officeDocument/2006/relationships/hyperlink" Target="https://github.com/pytorch/pytorch/pull/184593" TargetMode="External"/><Relationship Id="rId59" Type="http://schemas.openxmlformats.org/officeDocument/2006/relationships/drawing" Target="../drawings/drawing2.xml"/><Relationship Id="rId14" Type="http://schemas.openxmlformats.org/officeDocument/2006/relationships/hyperlink" Target="https://github.com/pytorch/pytorch/pull/184593" TargetMode="External"/><Relationship Id="rId58" Type="http://schemas.openxmlformats.org/officeDocument/2006/relationships/hyperlink" Target="http://test_dlpack.py/" TargetMode="External"/><Relationship Id="rId17" Type="http://schemas.openxmlformats.org/officeDocument/2006/relationships/hyperlink" Target="https://github.com/pytorch/pytorch/pull/184593" TargetMode="External"/><Relationship Id="rId16" Type="http://schemas.openxmlformats.org/officeDocument/2006/relationships/hyperlink" Target="https://github.com/pytorch/pytorch/pull/184593" TargetMode="External"/><Relationship Id="rId19" Type="http://schemas.openxmlformats.org/officeDocument/2006/relationships/hyperlink" Target="https://github.com/pytorch/pytorch/pull/184315" TargetMode="External"/><Relationship Id="rId18" Type="http://schemas.openxmlformats.org/officeDocument/2006/relationships/hyperlink" Target="https://github.com/pytorch/pytorch/pull/18459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ithub.com/pytorch/pytorch/blob/main/test/profiler/test_profiler.py" TargetMode="External"/><Relationship Id="rId2" Type="http://schemas.openxmlformats.org/officeDocument/2006/relationships/hyperlink" Target="https://github.com/pytorch/pytorch/pull/182432" TargetMode="External"/><Relationship Id="rId3" Type="http://schemas.openxmlformats.org/officeDocument/2006/relationships/hyperlink" Target="https://github.com/pytorch/pytorch/blob/main/test/profiler/test_profiler.py" TargetMode="External"/><Relationship Id="rId4" Type="http://schemas.openxmlformats.org/officeDocument/2006/relationships/hyperlink" Target="https://github.com/pytorch/pytorch/pull/18243" TargetMode="External"/><Relationship Id="rId9" Type="http://schemas.openxmlformats.org/officeDocument/2006/relationships/hyperlink" Target="https://github.com/pytorch/pytorch/blob/main/test/profiler/test_execution_trace.py" TargetMode="External"/><Relationship Id="rId5" Type="http://schemas.openxmlformats.org/officeDocument/2006/relationships/hyperlink" Target="https://github.com/pytorch/pytorch/blob/main/test/profiler/test_profiler.py" TargetMode="External"/><Relationship Id="rId6" Type="http://schemas.openxmlformats.org/officeDocument/2006/relationships/hyperlink" Target="https://github.com/pytorch/pytorch/pull/182434" TargetMode="External"/><Relationship Id="rId7" Type="http://schemas.openxmlformats.org/officeDocument/2006/relationships/hyperlink" Target="https://github.com/pytorch/pytorch/blob/main/test/profiler/test_profiler.py" TargetMode="External"/><Relationship Id="rId8" Type="http://schemas.openxmlformats.org/officeDocument/2006/relationships/hyperlink" Target="https://github.com/pytorch/pytorch/pull/182434" TargetMode="External"/><Relationship Id="rId31" Type="http://schemas.openxmlformats.org/officeDocument/2006/relationships/hyperlink" Target="https://github.com/pytorch/pytorch/blob/main/test/profiler/test_memory_profiler.py" TargetMode="External"/><Relationship Id="rId30" Type="http://schemas.openxmlformats.org/officeDocument/2006/relationships/hyperlink" Target="https://github.com/pytorch/pytorch/pull/182705" TargetMode="External"/><Relationship Id="rId33" Type="http://schemas.openxmlformats.org/officeDocument/2006/relationships/drawing" Target="../drawings/drawing3.xml"/><Relationship Id="rId32" Type="http://schemas.openxmlformats.org/officeDocument/2006/relationships/hyperlink" Target="https://github.com/pytorch/pytorch/pull/182705" TargetMode="External"/><Relationship Id="rId20" Type="http://schemas.openxmlformats.org/officeDocument/2006/relationships/hyperlink" Target="https://github.com/pytorch/pytorch/blob/main/test/profiler/test_python_tracer.py" TargetMode="External"/><Relationship Id="rId22" Type="http://schemas.openxmlformats.org/officeDocument/2006/relationships/hyperlink" Target="https://github.com/pytorch/pytorch/blob/main/test/profiler/test_kineto.py" TargetMode="External"/><Relationship Id="rId21" Type="http://schemas.openxmlformats.org/officeDocument/2006/relationships/hyperlink" Target="https://github.com/pytorch/pytorch/pull/181353" TargetMode="External"/><Relationship Id="rId24" Type="http://schemas.openxmlformats.org/officeDocument/2006/relationships/hyperlink" Target="https://github.com/pytorch/pytorch/pull/182705" TargetMode="External"/><Relationship Id="rId23" Type="http://schemas.openxmlformats.org/officeDocument/2006/relationships/hyperlink" Target="https://github.com/pytorch/pytorch/blob/main/test/profiler/test_memory_profiler.py" TargetMode="External"/><Relationship Id="rId26" Type="http://schemas.openxmlformats.org/officeDocument/2006/relationships/hyperlink" Target="https://github.com/pytorch/pytorch/pull/182705" TargetMode="External"/><Relationship Id="rId25" Type="http://schemas.openxmlformats.org/officeDocument/2006/relationships/hyperlink" Target="https://github.com/pytorch/pytorch/blob/main/test/profiler/test_memory_profiler.py" TargetMode="External"/><Relationship Id="rId28" Type="http://schemas.openxmlformats.org/officeDocument/2006/relationships/hyperlink" Target="https://github.com/pytorch/pytorch/pull/182705" TargetMode="External"/><Relationship Id="rId27" Type="http://schemas.openxmlformats.org/officeDocument/2006/relationships/hyperlink" Target="https://github.com/pytorch/pytorch/blob/main/test/profiler/test_memory_profiler.py" TargetMode="External"/><Relationship Id="rId29" Type="http://schemas.openxmlformats.org/officeDocument/2006/relationships/hyperlink" Target="https://github.com/pytorch/pytorch/blob/main/test/profiler/test_memory_profiler.py" TargetMode="External"/><Relationship Id="rId11" Type="http://schemas.openxmlformats.org/officeDocument/2006/relationships/hyperlink" Target="https://github.com/pytorch/pytorch/blob/main/test/profiler/test_profiler_tree.py" TargetMode="External"/><Relationship Id="rId10" Type="http://schemas.openxmlformats.org/officeDocument/2006/relationships/hyperlink" Target="https://github.com/pytorch/pytorch/pull/181511" TargetMode="External"/><Relationship Id="rId13" Type="http://schemas.openxmlformats.org/officeDocument/2006/relationships/hyperlink" Target="https://github.com/pytorch/pytorch/pull/182677" TargetMode="External"/><Relationship Id="rId12" Type="http://schemas.openxmlformats.org/officeDocument/2006/relationships/hyperlink" Target="https://github.com/pytorch/pytorch/blob/main/test/profiler/test_cpp_thread.py" TargetMode="External"/><Relationship Id="rId15" Type="http://schemas.openxmlformats.org/officeDocument/2006/relationships/hyperlink" Target="https://github.com/pytorch/pytorch/pull/182677" TargetMode="External"/><Relationship Id="rId14" Type="http://schemas.openxmlformats.org/officeDocument/2006/relationships/hyperlink" Target="https://github.com/pytorch/pytorch/blob/main/test/profiler/test_cpp_thread.py" TargetMode="External"/><Relationship Id="rId17" Type="http://schemas.openxmlformats.org/officeDocument/2006/relationships/hyperlink" Target="https://github.com/pytorch/pytorch/pull/181731" TargetMode="External"/><Relationship Id="rId16" Type="http://schemas.openxmlformats.org/officeDocument/2006/relationships/hyperlink" Target="https://github.com/pytorch/pytorch/blob/main/test/profiler/test_xpu_profiler.py" TargetMode="External"/><Relationship Id="rId19" Type="http://schemas.openxmlformats.org/officeDocument/2006/relationships/hyperlink" Target="https://github.com/pytorch/pytorch/blob/main/test/profiler/test_record_function.py" TargetMode="External"/><Relationship Id="rId18" Type="http://schemas.openxmlformats.org/officeDocument/2006/relationships/hyperlink" Target="https://github.com/pytorch/pytorch/blob/main/test/profiler/test_torch_tidy.py"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test_nvshmem.py" TargetMode="External"/><Relationship Id="rId42" Type="http://schemas.openxmlformats.org/officeDocument/2006/relationships/hyperlink" Target="http://test_nvshmem.py" TargetMode="External"/><Relationship Id="rId41" Type="http://schemas.openxmlformats.org/officeDocument/2006/relationships/hyperlink" Target="http://test_nvshmem.py" TargetMode="External"/><Relationship Id="rId44" Type="http://schemas.openxmlformats.org/officeDocument/2006/relationships/hyperlink" Target="http://test_nvshmem_triton.py" TargetMode="External"/><Relationship Id="rId43" Type="http://schemas.openxmlformats.org/officeDocument/2006/relationships/hyperlink" Target="http://test_nvshmem.py" TargetMode="External"/><Relationship Id="rId46" Type="http://schemas.openxmlformats.org/officeDocument/2006/relationships/hyperlink" Target="http://test_cupy_as_tensor.py" TargetMode="External"/><Relationship Id="rId45" Type="http://schemas.openxmlformats.org/officeDocument/2006/relationships/hyperlink" Target="http://test_p2p_ipc.py" TargetMode="External"/><Relationship Id="rId107" Type="http://schemas.openxmlformats.org/officeDocument/2006/relationships/hyperlink" Target="mailto:abigailferns94@gmail.com" TargetMode="External"/><Relationship Id="rId106" Type="http://schemas.openxmlformats.org/officeDocument/2006/relationships/hyperlink" Target="mailto:abigailferns94@gmail.com" TargetMode="External"/><Relationship Id="rId105" Type="http://schemas.openxmlformats.org/officeDocument/2006/relationships/hyperlink" Target="mailto:abigailferns94@gmail.com" TargetMode="External"/><Relationship Id="rId104" Type="http://schemas.openxmlformats.org/officeDocument/2006/relationships/hyperlink" Target="mailto:abigailferns94@gmail.com" TargetMode="External"/><Relationship Id="rId109" Type="http://schemas.openxmlformats.org/officeDocument/2006/relationships/hyperlink" Target="mailto:abigailferns94@gmail.com" TargetMode="External"/><Relationship Id="rId108" Type="http://schemas.openxmlformats.org/officeDocument/2006/relationships/hyperlink" Target="mailto:abigailferns94@gmail.com" TargetMode="External"/><Relationship Id="rId48" Type="http://schemas.openxmlformats.org/officeDocument/2006/relationships/hyperlink" Target="http://test_nvshmem.py" TargetMode="External"/><Relationship Id="rId47" Type="http://schemas.openxmlformats.org/officeDocument/2006/relationships/hyperlink" Target="http://test_ce_colls.py" TargetMode="External"/><Relationship Id="rId49" Type="http://schemas.openxmlformats.org/officeDocument/2006/relationships/hyperlink" Target="http://test_overlap_bucketing_unit.py" TargetMode="External"/><Relationship Id="rId103" Type="http://schemas.openxmlformats.org/officeDocument/2006/relationships/hyperlink" Target="mailto:abigailferns94@gmail.com" TargetMode="External"/><Relationship Id="rId102" Type="http://schemas.openxmlformats.org/officeDocument/2006/relationships/hyperlink" Target="mailto:abigailferns94@gmail.com" TargetMode="External"/><Relationship Id="rId101" Type="http://schemas.openxmlformats.org/officeDocument/2006/relationships/hyperlink" Target="mailto:abigailferns94@gmail.com" TargetMode="External"/><Relationship Id="rId100" Type="http://schemas.openxmlformats.org/officeDocument/2006/relationships/hyperlink" Target="mailto:abigailferns94@gmail.com" TargetMode="External"/><Relationship Id="rId31" Type="http://schemas.openxmlformats.org/officeDocument/2006/relationships/hyperlink" Target="mailto:abigailferns94@gmail.com" TargetMode="External"/><Relationship Id="rId30" Type="http://schemas.openxmlformats.org/officeDocument/2006/relationships/hyperlink" Target="http://test_pg_wrapper.py" TargetMode="External"/><Relationship Id="rId33" Type="http://schemas.openxmlformats.org/officeDocument/2006/relationships/hyperlink" Target="mailto:abigailferns94@gmail.com" TargetMode="External"/><Relationship Id="rId32" Type="http://schemas.openxmlformats.org/officeDocument/2006/relationships/hyperlink" Target="mailto:abigailferns94@gmail.com" TargetMode="External"/><Relationship Id="rId35" Type="http://schemas.openxmlformats.org/officeDocument/2006/relationships/hyperlink" Target="http://test_symmetric_memory.py" TargetMode="External"/><Relationship Id="rId34" Type="http://schemas.openxmlformats.org/officeDocument/2006/relationships/hyperlink" Target="http://test_symmetric_memory.py" TargetMode="External"/><Relationship Id="rId37" Type="http://schemas.openxmlformats.org/officeDocument/2006/relationships/hyperlink" Target="http://test_symmetric_memory.py" TargetMode="External"/><Relationship Id="rId36" Type="http://schemas.openxmlformats.org/officeDocument/2006/relationships/hyperlink" Target="http://test_symmetric_memory.py" TargetMode="External"/><Relationship Id="rId39" Type="http://schemas.openxmlformats.org/officeDocument/2006/relationships/hyperlink" Target="http://test_nccl.py" TargetMode="External"/><Relationship Id="rId38" Type="http://schemas.openxmlformats.org/officeDocument/2006/relationships/hyperlink" Target="http://test_symmetric_memory.py" TargetMode="External"/><Relationship Id="rId20" Type="http://schemas.openxmlformats.org/officeDocument/2006/relationships/hyperlink" Target="http://test_c10d_nccl.py" TargetMode="External"/><Relationship Id="rId22" Type="http://schemas.openxmlformats.org/officeDocument/2006/relationships/hyperlink" Target="http://test_c10d_ucc.py" TargetMode="External"/><Relationship Id="rId21" Type="http://schemas.openxmlformats.org/officeDocument/2006/relationships/hyperlink" Target="http://test_c10d_ops_nccl.py" TargetMode="External"/><Relationship Id="rId24" Type="http://schemas.openxmlformats.org/officeDocument/2006/relationships/hyperlink" Target="http://test_processgroup_jit.py" TargetMode="External"/><Relationship Id="rId23" Type="http://schemas.openxmlformats.org/officeDocument/2006/relationships/hyperlink" Target="http://test_c10d_ucc.py" TargetMode="External"/><Relationship Id="rId26" Type="http://schemas.openxmlformats.org/officeDocument/2006/relationships/hyperlink" Target="http://test_store.py" TargetMode="External"/><Relationship Id="rId121" Type="http://schemas.openxmlformats.org/officeDocument/2006/relationships/hyperlink" Target="http://test_local_tensor.py" TargetMode="External"/><Relationship Id="rId25" Type="http://schemas.openxmlformats.org/officeDocument/2006/relationships/hyperlink" Target="http://test_c10d_spawn.py" TargetMode="External"/><Relationship Id="rId120" Type="http://schemas.openxmlformats.org/officeDocument/2006/relationships/hyperlink" Target="http://test_local_tensor.py" TargetMode="External"/><Relationship Id="rId28" Type="http://schemas.openxmlformats.org/officeDocument/2006/relationships/hyperlink" Target="http://test_store.py" TargetMode="External"/><Relationship Id="rId27" Type="http://schemas.openxmlformats.org/officeDocument/2006/relationships/hyperlink" Target="http://test_store.py" TargetMode="External"/><Relationship Id="rId125" Type="http://schemas.openxmlformats.org/officeDocument/2006/relationships/drawing" Target="../drawings/drawing4.xml"/><Relationship Id="rId29" Type="http://schemas.openxmlformats.org/officeDocument/2006/relationships/hyperlink" Target="http://test_functional_api.py" TargetMode="External"/><Relationship Id="rId124" Type="http://schemas.openxmlformats.org/officeDocument/2006/relationships/hyperlink" Target="http://test_local_tensor.py" TargetMode="External"/><Relationship Id="rId123" Type="http://schemas.openxmlformats.org/officeDocument/2006/relationships/hyperlink" Target="http://test_local_tensor.py" TargetMode="External"/><Relationship Id="rId122" Type="http://schemas.openxmlformats.org/officeDocument/2006/relationships/hyperlink" Target="http://test_local_tensor.py" TargetMode="External"/><Relationship Id="rId95" Type="http://schemas.openxmlformats.org/officeDocument/2006/relationships/hyperlink" Target="mailto:abigailferns94@gmail.com" TargetMode="External"/><Relationship Id="rId94" Type="http://schemas.openxmlformats.org/officeDocument/2006/relationships/hyperlink" Target="mailto:abigailferns94@gmail.com" TargetMode="External"/><Relationship Id="rId97" Type="http://schemas.openxmlformats.org/officeDocument/2006/relationships/hyperlink" Target="mailto:abigailferns94@gmail.com" TargetMode="External"/><Relationship Id="rId96" Type="http://schemas.openxmlformats.org/officeDocument/2006/relationships/hyperlink" Target="mailto:abigailferns94@gmail.com" TargetMode="External"/><Relationship Id="rId11" Type="http://schemas.openxmlformats.org/officeDocument/2006/relationships/hyperlink" Target="mailto:abigailferns94@gmail.com" TargetMode="External"/><Relationship Id="rId99" Type="http://schemas.openxmlformats.org/officeDocument/2006/relationships/hyperlink" Target="mailto:abigailferns94@gmail.com" TargetMode="External"/><Relationship Id="rId10" Type="http://schemas.openxmlformats.org/officeDocument/2006/relationships/hyperlink" Target="mailto:abigailferns94@gmail.com" TargetMode="External"/><Relationship Id="rId98" Type="http://schemas.openxmlformats.org/officeDocument/2006/relationships/hyperlink" Target="mailto:abigailferns94@gmail.com" TargetMode="External"/><Relationship Id="rId13" Type="http://schemas.openxmlformats.org/officeDocument/2006/relationships/hyperlink" Target="mailto:abigailferns94@gmail.com" TargetMode="External"/><Relationship Id="rId12" Type="http://schemas.openxmlformats.org/officeDocument/2006/relationships/hyperlink" Target="mailto:abigailferns94@gmail.com" TargetMode="External"/><Relationship Id="rId91" Type="http://schemas.openxmlformats.org/officeDocument/2006/relationships/hyperlink" Target="mailto:abigailferns94@gmail.com" TargetMode="External"/><Relationship Id="rId90" Type="http://schemas.openxmlformats.org/officeDocument/2006/relationships/hyperlink" Target="mailto:abigailferns94@gmail.com" TargetMode="External"/><Relationship Id="rId93" Type="http://schemas.openxmlformats.org/officeDocument/2006/relationships/hyperlink" Target="mailto:abigailferns94@gmail.com" TargetMode="External"/><Relationship Id="rId92" Type="http://schemas.openxmlformats.org/officeDocument/2006/relationships/hyperlink" Target="mailto:abigailferns94@gmail.com" TargetMode="External"/><Relationship Id="rId118" Type="http://schemas.openxmlformats.org/officeDocument/2006/relationships/hyperlink" Target="http://test_local_tensor.py" TargetMode="External"/><Relationship Id="rId117" Type="http://schemas.openxmlformats.org/officeDocument/2006/relationships/hyperlink" Target="mailto:abigailferns94@gmail.com" TargetMode="External"/><Relationship Id="rId116" Type="http://schemas.openxmlformats.org/officeDocument/2006/relationships/hyperlink" Target="mailto:abigailferns94@gmail.com" TargetMode="External"/><Relationship Id="rId115" Type="http://schemas.openxmlformats.org/officeDocument/2006/relationships/hyperlink" Target="mailto:abigailferns94@gmail.com" TargetMode="External"/><Relationship Id="rId119" Type="http://schemas.openxmlformats.org/officeDocument/2006/relationships/hyperlink" Target="http://test_local_tensor.py" TargetMode="External"/><Relationship Id="rId15" Type="http://schemas.openxmlformats.org/officeDocument/2006/relationships/hyperlink" Target="http://test_c10d_gloo.py" TargetMode="External"/><Relationship Id="rId110" Type="http://schemas.openxmlformats.org/officeDocument/2006/relationships/hyperlink" Target="mailto:abigailferns94@gmail.com" TargetMode="External"/><Relationship Id="rId14" Type="http://schemas.openxmlformats.org/officeDocument/2006/relationships/hyperlink" Target="mailto:abigailferns94@gmail.com" TargetMode="External"/><Relationship Id="rId17" Type="http://schemas.openxmlformats.org/officeDocument/2006/relationships/hyperlink" Target="http://test_c10d_gloo.py" TargetMode="External"/><Relationship Id="rId16" Type="http://schemas.openxmlformats.org/officeDocument/2006/relationships/hyperlink" Target="http://test_c10d_gloo.py" TargetMode="External"/><Relationship Id="rId19" Type="http://schemas.openxmlformats.org/officeDocument/2006/relationships/hyperlink" Target="http://test_c10d_nccl.py" TargetMode="External"/><Relationship Id="rId114" Type="http://schemas.openxmlformats.org/officeDocument/2006/relationships/hyperlink" Target="mailto:abigailferns94@gmail.com" TargetMode="External"/><Relationship Id="rId18" Type="http://schemas.openxmlformats.org/officeDocument/2006/relationships/hyperlink" Target="http://test_c10d_gloo.py" TargetMode="External"/><Relationship Id="rId113" Type="http://schemas.openxmlformats.org/officeDocument/2006/relationships/hyperlink" Target="mailto:abigailferns94@gmail.com" TargetMode="External"/><Relationship Id="rId112" Type="http://schemas.openxmlformats.org/officeDocument/2006/relationships/hyperlink" Target="mailto:abigailferns94@gmail.com" TargetMode="External"/><Relationship Id="rId111" Type="http://schemas.openxmlformats.org/officeDocument/2006/relationships/hyperlink" Target="mailto:abigailferns94@gmail.com" TargetMode="External"/><Relationship Id="rId84" Type="http://schemas.openxmlformats.org/officeDocument/2006/relationships/hyperlink" Target="mailto:abigailferns94@gmail.com" TargetMode="External"/><Relationship Id="rId83" Type="http://schemas.openxmlformats.org/officeDocument/2006/relationships/hyperlink" Target="mailto:abigailferns94@gmail.com" TargetMode="External"/><Relationship Id="rId86" Type="http://schemas.openxmlformats.org/officeDocument/2006/relationships/hyperlink" Target="mailto:abigailferns94@gmail.com" TargetMode="External"/><Relationship Id="rId85" Type="http://schemas.openxmlformats.org/officeDocument/2006/relationships/hyperlink" Target="mailto:abigailferns94@gmail.com" TargetMode="External"/><Relationship Id="rId88" Type="http://schemas.openxmlformats.org/officeDocument/2006/relationships/hyperlink" Target="mailto:abigailferns94@gmail.com" TargetMode="External"/><Relationship Id="rId87" Type="http://schemas.openxmlformats.org/officeDocument/2006/relationships/hyperlink" Target="mailto:abigailferns94@gmail.com" TargetMode="External"/><Relationship Id="rId89" Type="http://schemas.openxmlformats.org/officeDocument/2006/relationships/hyperlink" Target="mailto:abigailferns94@gmail.com" TargetMode="External"/><Relationship Id="rId80" Type="http://schemas.openxmlformats.org/officeDocument/2006/relationships/hyperlink" Target="mailto:abigailferns94@gmail.com" TargetMode="External"/><Relationship Id="rId82" Type="http://schemas.openxmlformats.org/officeDocument/2006/relationships/hyperlink" Target="mailto:abigailferns94@gmail.com" TargetMode="External"/><Relationship Id="rId81" Type="http://schemas.openxmlformats.org/officeDocument/2006/relationships/hyperlink" Target="mailto:abigailferns94@gmail.com" TargetMode="External"/><Relationship Id="rId1" Type="http://schemas.openxmlformats.org/officeDocument/2006/relationships/hyperlink" Target="mailto:abigailferns94@gmail.com" TargetMode="External"/><Relationship Id="rId2" Type="http://schemas.openxmlformats.org/officeDocument/2006/relationships/hyperlink" Target="mailto:abigailferns94@gmail.com" TargetMode="External"/><Relationship Id="rId3" Type="http://schemas.openxmlformats.org/officeDocument/2006/relationships/hyperlink" Target="mailto:abigailferns94@gmail.com" TargetMode="External"/><Relationship Id="rId4" Type="http://schemas.openxmlformats.org/officeDocument/2006/relationships/hyperlink" Target="mailto:abigailferns94@gmail.com" TargetMode="External"/><Relationship Id="rId9" Type="http://schemas.openxmlformats.org/officeDocument/2006/relationships/hyperlink" Target="http://test_c10d_common.py" TargetMode="External"/><Relationship Id="rId5" Type="http://schemas.openxmlformats.org/officeDocument/2006/relationships/hyperlink" Target="mailto:abigailferns94@gmail.com" TargetMode="External"/><Relationship Id="rId6" Type="http://schemas.openxmlformats.org/officeDocument/2006/relationships/hyperlink" Target="http://test_c10d_common.py" TargetMode="External"/><Relationship Id="rId7" Type="http://schemas.openxmlformats.org/officeDocument/2006/relationships/hyperlink" Target="http://test_c10d_common.py" TargetMode="External"/><Relationship Id="rId8" Type="http://schemas.openxmlformats.org/officeDocument/2006/relationships/hyperlink" Target="http://test_c10d_common.py" TargetMode="External"/><Relationship Id="rId73" Type="http://schemas.openxmlformats.org/officeDocument/2006/relationships/hyperlink" Target="mailto:abigailferns94@gmail.com" TargetMode="External"/><Relationship Id="rId72" Type="http://schemas.openxmlformats.org/officeDocument/2006/relationships/hyperlink" Target="mailto:abigailferns94@gmail.com" TargetMode="External"/><Relationship Id="rId75" Type="http://schemas.openxmlformats.org/officeDocument/2006/relationships/hyperlink" Target="http://test_composability.py" TargetMode="External"/><Relationship Id="rId74" Type="http://schemas.openxmlformats.org/officeDocument/2006/relationships/hyperlink" Target="mailto:abigailferns94@gmail.com" TargetMode="External"/><Relationship Id="rId77" Type="http://schemas.openxmlformats.org/officeDocument/2006/relationships/hyperlink" Target="mailto:abigailferns94@gmail.com" TargetMode="External"/><Relationship Id="rId76" Type="http://schemas.openxmlformats.org/officeDocument/2006/relationships/hyperlink" Target="mailto:abigailferns94@gmail.com" TargetMode="External"/><Relationship Id="rId79" Type="http://schemas.openxmlformats.org/officeDocument/2006/relationships/hyperlink" Target="mailto:abigailferns94@gmail.com" TargetMode="External"/><Relationship Id="rId78" Type="http://schemas.openxmlformats.org/officeDocument/2006/relationships/hyperlink" Target="mailto:abigailferns94@gmail.com" TargetMode="External"/><Relationship Id="rId71" Type="http://schemas.openxmlformats.org/officeDocument/2006/relationships/hyperlink" Target="mailto:abigailferns94@gmail.com" TargetMode="External"/><Relationship Id="rId70" Type="http://schemas.openxmlformats.org/officeDocument/2006/relationships/hyperlink" Target="mailto:abigailferns94@gmail.com" TargetMode="External"/><Relationship Id="rId62" Type="http://schemas.openxmlformats.org/officeDocument/2006/relationships/hyperlink" Target="mailto:abigailferns94@gmail.com" TargetMode="External"/><Relationship Id="rId61" Type="http://schemas.openxmlformats.org/officeDocument/2006/relationships/hyperlink" Target="mailto:abigailferns94@gmail.com" TargetMode="External"/><Relationship Id="rId64" Type="http://schemas.openxmlformats.org/officeDocument/2006/relationships/hyperlink" Target="mailto:abigailferns94@gmail.com" TargetMode="External"/><Relationship Id="rId63" Type="http://schemas.openxmlformats.org/officeDocument/2006/relationships/hyperlink" Target="mailto:abigailferns94@gmail.com" TargetMode="External"/><Relationship Id="rId66" Type="http://schemas.openxmlformats.org/officeDocument/2006/relationships/hyperlink" Target="mailto:abigailferns94@gmail.com" TargetMode="External"/><Relationship Id="rId65" Type="http://schemas.openxmlformats.org/officeDocument/2006/relationships/hyperlink" Target="mailto:abigailferns94@gmail.com" TargetMode="External"/><Relationship Id="rId68" Type="http://schemas.openxmlformats.org/officeDocument/2006/relationships/hyperlink" Target="mailto:abigailferns94@gmail.com" TargetMode="External"/><Relationship Id="rId67" Type="http://schemas.openxmlformats.org/officeDocument/2006/relationships/hyperlink" Target="mailto:abigailferns94@gmail.com" TargetMode="External"/><Relationship Id="rId60" Type="http://schemas.openxmlformats.org/officeDocument/2006/relationships/hyperlink" Target="mailto:abigailferns94@gmail.com" TargetMode="External"/><Relationship Id="rId69" Type="http://schemas.openxmlformats.org/officeDocument/2006/relationships/hyperlink" Target="mailto:abigailferns94@gmail.com" TargetMode="External"/><Relationship Id="rId51" Type="http://schemas.openxmlformats.org/officeDocument/2006/relationships/hyperlink" Target="mailto:abigailferns94@gmail.com" TargetMode="External"/><Relationship Id="rId50" Type="http://schemas.openxmlformats.org/officeDocument/2006/relationships/hyperlink" Target="mailto:abigailferns94@gmail.com" TargetMode="External"/><Relationship Id="rId53" Type="http://schemas.openxmlformats.org/officeDocument/2006/relationships/hyperlink" Target="mailto:abigailferns94@gmail.com" TargetMode="External"/><Relationship Id="rId52" Type="http://schemas.openxmlformats.org/officeDocument/2006/relationships/hyperlink" Target="mailto:abigailferns94@gmail.com" TargetMode="External"/><Relationship Id="rId55" Type="http://schemas.openxmlformats.org/officeDocument/2006/relationships/hyperlink" Target="mailto:abigailferns94@gmail.com" TargetMode="External"/><Relationship Id="rId54" Type="http://schemas.openxmlformats.org/officeDocument/2006/relationships/hyperlink" Target="mailto:abigailferns94@gmail.com" TargetMode="External"/><Relationship Id="rId57" Type="http://schemas.openxmlformats.org/officeDocument/2006/relationships/hyperlink" Target="mailto:abigailferns94@gmail.com" TargetMode="External"/><Relationship Id="rId56" Type="http://schemas.openxmlformats.org/officeDocument/2006/relationships/hyperlink" Target="mailto:abigailferns94@gmail.com" TargetMode="External"/><Relationship Id="rId59" Type="http://schemas.openxmlformats.org/officeDocument/2006/relationships/hyperlink" Target="mailto:abigailferns94@gmail.com" TargetMode="External"/><Relationship Id="rId58" Type="http://schemas.openxmlformats.org/officeDocument/2006/relationships/hyperlink" Target="mailto:abigailferns94@gmail.com"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github.com/pytorch/pytorch/blob/c9df4276cda732c5678ea0cd38b3f16a0e9b9945/test/dynamo/test_reorder_logs.py" TargetMode="External"/><Relationship Id="rId194" Type="http://schemas.openxmlformats.org/officeDocument/2006/relationships/hyperlink" Target="https://github.com/pytorch/pytorch/blob/c9df4276cda732c5678ea0cd38b3f16a0e9b9945/test/dynamo/test_dynamo_profiler.py" TargetMode="External"/><Relationship Id="rId193" Type="http://schemas.openxmlformats.org/officeDocument/2006/relationships/hyperlink" Target="https://github.com/pytorch/pytorch/blob/c9df4276cda732c5678ea0cd38b3f16a0e9b9945/test/dynamo/test_profiler.py" TargetMode="External"/><Relationship Id="rId192" Type="http://schemas.openxmlformats.org/officeDocument/2006/relationships/hyperlink" Target="https://github.com/pytorch/pytorch/pull/180207" TargetMode="External"/><Relationship Id="rId191" Type="http://schemas.openxmlformats.org/officeDocument/2006/relationships/hyperlink" Target="https://github.com/pytorch/pytorch/blob/c9df4276cda732c5678ea0cd38b3f16a0e9b9945/test/dynamo/test_structured_trace.py" TargetMode="External"/><Relationship Id="rId187" Type="http://schemas.openxmlformats.org/officeDocument/2006/relationships/hyperlink" Target="https://github.com/pytorch/pytorch/blob/c9df4276cda732c5678ea0cd38b3f16a0e9b9945/test/dynamo/test_logging.py" TargetMode="External"/><Relationship Id="rId186" Type="http://schemas.openxmlformats.org/officeDocument/2006/relationships/hyperlink" Target="https://github.com/pytorch/pytorch/blob/c9df4276cda732c5678ea0cd38b3f16a0e9b9945/test/dynamo/test_torchrec.py" TargetMode="External"/><Relationship Id="rId185" Type="http://schemas.openxmlformats.org/officeDocument/2006/relationships/hyperlink" Target="https://github.com/pytorch/pytorch/blob/c9df4276cda732c5678ea0cd38b3f16a0e9b9945/test/dynamo/test_einops.py" TargetMode="External"/><Relationship Id="rId184" Type="http://schemas.openxmlformats.org/officeDocument/2006/relationships/hyperlink" Target="https://github.com/pytorch/pytorch/pull/185214" TargetMode="External"/><Relationship Id="rId189" Type="http://schemas.openxmlformats.org/officeDocument/2006/relationships/hyperlink" Target="https://github.com/pytorch/pytorch/blob/c9df4276cda732c5678ea0cd38b3f16a0e9b9945/test/dynamo/test_reorder_logs.py" TargetMode="External"/><Relationship Id="rId188" Type="http://schemas.openxmlformats.org/officeDocument/2006/relationships/hyperlink" Target="https://github.com/pytorch/pytorch/pull/185212" TargetMode="External"/><Relationship Id="rId183" Type="http://schemas.openxmlformats.org/officeDocument/2006/relationships/hyperlink" Target="https://github.com/pytorch/pytorch/blob/c9df4276cda732c5678ea0cd38b3f16a0e9b9945/test/dynamo/test_interop.py" TargetMode="External"/><Relationship Id="rId182" Type="http://schemas.openxmlformats.org/officeDocument/2006/relationships/hyperlink" Target="https://github.com/pytorch/pytorch/pull/185220" TargetMode="External"/><Relationship Id="rId181" Type="http://schemas.openxmlformats.org/officeDocument/2006/relationships/hyperlink" Target="https://github.com/pytorch/pytorch/blob/c9df4276cda732c5678ea0cd38b3f16a0e9b9945/test/dynamo/test_wrap_inductor_compiled_regions.py" TargetMode="External"/><Relationship Id="rId180" Type="http://schemas.openxmlformats.org/officeDocument/2006/relationships/hyperlink" Target="https://github.com/pytorch/pytorch/blob/c9df4276cda732c5678ea0cd38b3f16a0e9b9945/test/dynamo/test_regional_inductor.py" TargetMode="External"/><Relationship Id="rId176" Type="http://schemas.openxmlformats.org/officeDocument/2006/relationships/hyperlink" Target="https://github.com/pytorch/pytorch/blob/c9df4276cda732c5678ea0cd38b3f16a0e9b9945/test/dynamo/test_deviceguard.py" TargetMode="External"/><Relationship Id="rId297" Type="http://schemas.openxmlformats.org/officeDocument/2006/relationships/hyperlink" Target="https://github.com/pytorch/pytorch/blob/c9df4276cda732c5678ea0cd38b3f16a0e9b9945/test/dynamo/cpython/3_13/test_set.py" TargetMode="External"/><Relationship Id="rId175" Type="http://schemas.openxmlformats.org/officeDocument/2006/relationships/hyperlink" Target="https://github.com/pytorch/pytorch/blob/c9df4276cda732c5678ea0cd38b3f16a0e9b9945/test/dynamo/test_deviceguard.py" TargetMode="External"/><Relationship Id="rId296" Type="http://schemas.openxmlformats.org/officeDocument/2006/relationships/hyperlink" Target="https://github.com/pytorch/pytorch/blob/c9df4276cda732c5678ea0cd38b3f16a0e9b9945/test/dynamo/cpython/3_13/test_set.py" TargetMode="External"/><Relationship Id="rId174" Type="http://schemas.openxmlformats.org/officeDocument/2006/relationships/hyperlink" Target="https://github.com/pytorch/pytorch/pull/185213" TargetMode="External"/><Relationship Id="rId295" Type="http://schemas.openxmlformats.org/officeDocument/2006/relationships/hyperlink" Target="https://github.com/pytorch/pytorch/blob/c9df4276cda732c5678ea0cd38b3f16a0e9b9945/test/dynamo/cpython/3_13/test_set.py" TargetMode="External"/><Relationship Id="rId173" Type="http://schemas.openxmlformats.org/officeDocument/2006/relationships/hyperlink" Target="mailto:mlazos@meta.com" TargetMode="External"/><Relationship Id="rId294" Type="http://schemas.openxmlformats.org/officeDocument/2006/relationships/hyperlink" Target="https://github.com/pytorch/pytorch/blob/c9df4276cda732c5678ea0cd38b3f16a0e9b9945/test/dynamo/cpython/3_13/test_set.py" TargetMode="External"/><Relationship Id="rId179" Type="http://schemas.openxmlformats.org/officeDocument/2006/relationships/hyperlink" Target="https://github.com/pytorch/pytorch/blob/c9df4276cda732c5678ea0cd38b3f16a0e9b9945/test/dynamo/test_regional_inductor.py" TargetMode="External"/><Relationship Id="rId178" Type="http://schemas.openxmlformats.org/officeDocument/2006/relationships/hyperlink" Target="https://github.com/pytorch/pytorch/blob/c9df4276cda732c5678ea0cd38b3f16a0e9b9945/test/dynamo/test_regional_inductor.py" TargetMode="External"/><Relationship Id="rId299" Type="http://schemas.openxmlformats.org/officeDocument/2006/relationships/hyperlink" Target="https://github.com/pytorch/pytorch/blob/c9df4276cda732c5678ea0cd38b3f16a0e9b9945/test/dynamo/cpython/3_13/test_set.py" TargetMode="External"/><Relationship Id="rId177" Type="http://schemas.openxmlformats.org/officeDocument/2006/relationships/hyperlink" Target="https://github.com/pytorch/pytorch/blob/c9df4276cda732c5678ea0cd38b3f16a0e9b9945/test/dynamo/test_fake_distributed.py" TargetMode="External"/><Relationship Id="rId298" Type="http://schemas.openxmlformats.org/officeDocument/2006/relationships/hyperlink" Target="https://github.com/pytorch/pytorch/blob/c9df4276cda732c5678ea0cd38b3f16a0e9b9945/test/dynamo/cpython/3_13/test_set.py" TargetMode="External"/><Relationship Id="rId198" Type="http://schemas.openxmlformats.org/officeDocument/2006/relationships/hyperlink" Target="https://github.com/pytorch/pytorch/blob/c9df4276cda732c5678ea0cd38b3f16a0e9b9945/test/dynamo/test_debug_utils.py" TargetMode="External"/><Relationship Id="rId197" Type="http://schemas.openxmlformats.org/officeDocument/2006/relationships/hyperlink" Target="https://github.com/pytorch/pytorch/blob/c9df4276cda732c5678ea0cd38b3f16a0e9b9945/test/dynamo/test_minifier.py" TargetMode="External"/><Relationship Id="rId196" Type="http://schemas.openxmlformats.org/officeDocument/2006/relationships/hyperlink" Target="https://github.com/pytorch/pytorch/blob/c9df4276cda732c5678ea0cd38b3f16a0e9b9945/test/dynamo/test_error_messages.py" TargetMode="External"/><Relationship Id="rId195" Type="http://schemas.openxmlformats.org/officeDocument/2006/relationships/hyperlink" Target="https://github.com/pytorch/pytorch/blob/c9df4276cda732c5678ea0cd38b3f16a0e9b9945/test/dynamo/test_error_messages.py" TargetMode="External"/><Relationship Id="rId199" Type="http://schemas.openxmlformats.org/officeDocument/2006/relationships/hyperlink" Target="https://github.com/pytorch/pytorch/blob/c9df4276cda732c5678ea0cd38b3f16a0e9b9945/test/dynamo/test_debug_utils.py" TargetMode="External"/><Relationship Id="rId150" Type="http://schemas.openxmlformats.org/officeDocument/2006/relationships/hyperlink" Target="https://github.com/pytorch/pytorch/blob/c9df4276cda732c5678ea0cd38b3f16a0e9b9945/test/dynamo/test_fx_graph_runnable.py" TargetMode="External"/><Relationship Id="rId271" Type="http://schemas.openxmlformats.org/officeDocument/2006/relationships/hyperlink" Target="https://github.com/pytorch/pytorch/blob/c9df4276cda732c5678ea0cd38b3f16a0e9b9945/test/dynamo/cpython/3_13/test_set.py" TargetMode="External"/><Relationship Id="rId392" Type="http://schemas.openxmlformats.org/officeDocument/2006/relationships/hyperlink" Target="https://github.com/pytorch/pytorch/blob/c9df4276cda732c5678ea0cd38b3f16a0e9b9945/test/dynamo/cpython/3_13/test_contextlib.py" TargetMode="External"/><Relationship Id="rId270" Type="http://schemas.openxmlformats.org/officeDocument/2006/relationships/hyperlink" Target="https://github.com/pytorch/pytorch/blob/c9df4276cda732c5678ea0cd38b3f16a0e9b9945/test/dynamo/cpython/3_13/test_set.py" TargetMode="External"/><Relationship Id="rId391" Type="http://schemas.openxmlformats.org/officeDocument/2006/relationships/hyperlink" Target="https://github.com/pytorch/pytorch/blob/c9df4276cda732c5678ea0cd38b3f16a0e9b9945/test/dynamo/cpython/3_13/test_contextlib.py" TargetMode="External"/><Relationship Id="rId390" Type="http://schemas.openxmlformats.org/officeDocument/2006/relationships/hyperlink" Target="https://github.com/pytorch/pytorch/blob/c9df4276cda732c5678ea0cd38b3f16a0e9b9945/test/dynamo/cpython/3_13/test_contextlib.py" TargetMode="External"/><Relationship Id="rId1" Type="http://schemas.openxmlformats.org/officeDocument/2006/relationships/hyperlink" Target="https://github.com/pytorch/pytorch/blob/c9df4276cda732c5678ea0cd38b3f16a0e9b9945/test/dynamo/test_misc.py" TargetMode="External"/><Relationship Id="rId2" Type="http://schemas.openxmlformats.org/officeDocument/2006/relationships/hyperlink" Target="https://github.com/pytorch/pytorch/pull/180374" TargetMode="External"/><Relationship Id="rId3" Type="http://schemas.openxmlformats.org/officeDocument/2006/relationships/hyperlink" Target="https://github.com/pytorch/pytorch/blob/c9df4276cda732c5678ea0cd38b3f16a0e9b9945/test/dynamo/test_misc.py" TargetMode="External"/><Relationship Id="rId149" Type="http://schemas.openxmlformats.org/officeDocument/2006/relationships/hyperlink" Target="https://github.com/pytorch/pytorch/pull/185226" TargetMode="External"/><Relationship Id="rId4" Type="http://schemas.openxmlformats.org/officeDocument/2006/relationships/hyperlink" Target="https://github.com/pytorch/pytorch/blob/c9df4276cda732c5678ea0cd38b3f16a0e9b9945/test/dynamo/test_misc.py" TargetMode="External"/><Relationship Id="rId148" Type="http://schemas.openxmlformats.org/officeDocument/2006/relationships/hyperlink" Target="mailto:shangdiy@meta.com" TargetMode="External"/><Relationship Id="rId269" Type="http://schemas.openxmlformats.org/officeDocument/2006/relationships/hyperlink" Target="https://github.com/pytorch/pytorch/blob/c9df4276cda732c5678ea0cd38b3f16a0e9b9945/test/dynamo/cpython/3_13/test_set.py" TargetMode="External"/><Relationship Id="rId9" Type="http://schemas.openxmlformats.org/officeDocument/2006/relationships/hyperlink" Target="https://github.com/pytorch/pytorch/pull/180374" TargetMode="External"/><Relationship Id="rId143" Type="http://schemas.openxmlformats.org/officeDocument/2006/relationships/hyperlink" Target="https://github.com/pytorch/pytorch/blob/c9df4276cda732c5678ea0cd38b3f16a0e9b9945/test/dynamo/test_optimizers.py" TargetMode="External"/><Relationship Id="rId264" Type="http://schemas.openxmlformats.org/officeDocument/2006/relationships/hyperlink" Target="https://github.com/pytorch/pytorch/blob/c9df4276cda732c5678ea0cd38b3f16a0e9b9945/test/dynamo/cpython/3_13/test_set.py" TargetMode="External"/><Relationship Id="rId385" Type="http://schemas.openxmlformats.org/officeDocument/2006/relationships/hyperlink" Target="https://github.com/pytorch/pytorch/blob/c9df4276cda732c5678ea0cd38b3f16a0e9b9945/test/dynamo/cpython/3_13/test_contextlib.py" TargetMode="External"/><Relationship Id="rId142" Type="http://schemas.openxmlformats.org/officeDocument/2006/relationships/hyperlink" Target="https://github.com/pytorch/pytorch/blob/c9df4276cda732c5678ea0cd38b3f16a0e9b9945/test/dynamo/test_hooks.py" TargetMode="External"/><Relationship Id="rId263" Type="http://schemas.openxmlformats.org/officeDocument/2006/relationships/hyperlink" Target="https://github.com/pytorch/pytorch/blob/c9df4276cda732c5678ea0cd38b3f16a0e9b9945/test/dynamo/cpython/3_13/test_set.py" TargetMode="External"/><Relationship Id="rId384" Type="http://schemas.openxmlformats.org/officeDocument/2006/relationships/hyperlink" Target="https://github.com/pytorch/pytorch/blob/c9df4276cda732c5678ea0cd38b3f16a0e9b9945/test/dynamo/cpython/3_13/test_contextlib.py" TargetMode="External"/><Relationship Id="rId141" Type="http://schemas.openxmlformats.org/officeDocument/2006/relationships/hyperlink" Target="https://github.com/pytorch/pytorch/blob/c9df4276cda732c5678ea0cd38b3f16a0e9b9945/test/dynamo/test_modules.py" TargetMode="External"/><Relationship Id="rId262" Type="http://schemas.openxmlformats.org/officeDocument/2006/relationships/hyperlink" Target="https://github.com/pytorch/pytorch/blob/c9df4276cda732c5678ea0cd38b3f16a0e9b9945/test/dynamo/cpython/3_13/test_set.py" TargetMode="External"/><Relationship Id="rId383" Type="http://schemas.openxmlformats.org/officeDocument/2006/relationships/hyperlink" Target="https://github.com/pytorch/pytorch/blob/c9df4276cda732c5678ea0cd38b3f16a0e9b9945/test/dynamo/cpython/3_13/test_generator_stop.py" TargetMode="External"/><Relationship Id="rId140" Type="http://schemas.openxmlformats.org/officeDocument/2006/relationships/hyperlink" Target="https://github.com/pytorch/pytorch/pull/178058/" TargetMode="External"/><Relationship Id="rId261" Type="http://schemas.openxmlformats.org/officeDocument/2006/relationships/hyperlink" Target="https://github.com/pytorch/pytorch/blob/c9df4276cda732c5678ea0cd38b3f16a0e9b9945/test/dynamo/cpython/3_13/test_set.py" TargetMode="External"/><Relationship Id="rId382" Type="http://schemas.openxmlformats.org/officeDocument/2006/relationships/hyperlink" Target="https://github.com/pytorch/pytorch/blob/c9df4276cda732c5678ea0cd38b3f16a0e9b9945/test/dynamo/cpython/3_13/test_generators.py" TargetMode="External"/><Relationship Id="rId5" Type="http://schemas.openxmlformats.org/officeDocument/2006/relationships/hyperlink" Target="https://github.com/pytorch/pytorch/pull/180374" TargetMode="External"/><Relationship Id="rId147" Type="http://schemas.openxmlformats.org/officeDocument/2006/relationships/hyperlink" Target="https://github.com/pytorch/pytorch/blob/c9df4276cda732c5678ea0cd38b3f16a0e9b9945/test/dynamo/test_fx_annotate.py" TargetMode="External"/><Relationship Id="rId268" Type="http://schemas.openxmlformats.org/officeDocument/2006/relationships/hyperlink" Target="https://github.com/pytorch/pytorch/blob/c9df4276cda732c5678ea0cd38b3f16a0e9b9945/test/dynamo/cpython/3_13/test_set.py" TargetMode="External"/><Relationship Id="rId389" Type="http://schemas.openxmlformats.org/officeDocument/2006/relationships/hyperlink" Target="https://github.com/pytorch/pytorch/blob/c9df4276cda732c5678ea0cd38b3f16a0e9b9945/test/dynamo/cpython/3_13/test_contextlib.py" TargetMode="External"/><Relationship Id="rId6" Type="http://schemas.openxmlformats.org/officeDocument/2006/relationships/hyperlink" Target="https://github.com/pytorch/pytorch/blob/c9df4276cda732c5678ea0cd38b3f16a0e9b9945/test/dynamo/test_misc.py" TargetMode="External"/><Relationship Id="rId146" Type="http://schemas.openxmlformats.org/officeDocument/2006/relationships/hyperlink" Target="https://github.com/pytorch/pytorch/blob/c9df4276cda732c5678ea0cd38b3f16a0e9b9945/test/dynamo/test_nested_graph_breaks.py" TargetMode="External"/><Relationship Id="rId267" Type="http://schemas.openxmlformats.org/officeDocument/2006/relationships/hyperlink" Target="https://github.com/pytorch/pytorch/blob/c9df4276cda732c5678ea0cd38b3f16a0e9b9945/test/dynamo/cpython/3_13/test_set.py" TargetMode="External"/><Relationship Id="rId388" Type="http://schemas.openxmlformats.org/officeDocument/2006/relationships/hyperlink" Target="https://github.com/pytorch/pytorch/blob/c9df4276cda732c5678ea0cd38b3f16a0e9b9945/test/dynamo/cpython/3_13/test_contextlib.py" TargetMode="External"/><Relationship Id="rId7" Type="http://schemas.openxmlformats.org/officeDocument/2006/relationships/hyperlink" Target="https://github.com/pytorch/pytorch/blob/c9df4276cda732c5678ea0cd38b3f16a0e9b9945/test/dynamo/test_misc.py" TargetMode="External"/><Relationship Id="rId145" Type="http://schemas.openxmlformats.org/officeDocument/2006/relationships/hyperlink" Target="https://github.com/pytorch/pytorch/blob/c9df4276cda732c5678ea0cd38b3f16a0e9b9945/test/dynamo/test_subgraphs.py" TargetMode="External"/><Relationship Id="rId266" Type="http://schemas.openxmlformats.org/officeDocument/2006/relationships/hyperlink" Target="https://github.com/pytorch/pytorch/blob/c9df4276cda732c5678ea0cd38b3f16a0e9b9945/test/dynamo/cpython/3_13/test_set.py" TargetMode="External"/><Relationship Id="rId387" Type="http://schemas.openxmlformats.org/officeDocument/2006/relationships/hyperlink" Target="https://github.com/pytorch/pytorch/blob/c9df4276cda732c5678ea0cd38b3f16a0e9b9945/test/dynamo/cpython/3_13/test_contextlib.py" TargetMode="External"/><Relationship Id="rId8" Type="http://schemas.openxmlformats.org/officeDocument/2006/relationships/hyperlink" Target="https://github.com/pytorch/pytorch/blob/c9df4276cda732c5678ea0cd38b3f16a0e9b9945/test/dynamo/test_misc.py" TargetMode="External"/><Relationship Id="rId144" Type="http://schemas.openxmlformats.org/officeDocument/2006/relationships/hyperlink" Target="https://github.com/pytorch/pytorch/blob/c9df4276cda732c5678ea0cd38b3f16a0e9b9945/test/dynamo/test_buffers_override.py" TargetMode="External"/><Relationship Id="rId265" Type="http://schemas.openxmlformats.org/officeDocument/2006/relationships/hyperlink" Target="https://github.com/pytorch/pytorch/blob/c9df4276cda732c5678ea0cd38b3f16a0e9b9945/test/dynamo/cpython/3_13/test_set.py" TargetMode="External"/><Relationship Id="rId386" Type="http://schemas.openxmlformats.org/officeDocument/2006/relationships/hyperlink" Target="https://github.com/pytorch/pytorch/blob/c9df4276cda732c5678ea0cd38b3f16a0e9b9945/test/dynamo/cpython/3_13/test_contextlib.py" TargetMode="External"/><Relationship Id="rId260" Type="http://schemas.openxmlformats.org/officeDocument/2006/relationships/hyperlink" Target="https://github.com/pytorch/pytorch/blob/c9df4276cda732c5678ea0cd38b3f16a0e9b9945/test/dynamo/cpython/3_13/test_tuple.py" TargetMode="External"/><Relationship Id="rId381" Type="http://schemas.openxmlformats.org/officeDocument/2006/relationships/hyperlink" Target="https://github.com/pytorch/pytorch/blob/c9df4276cda732c5678ea0cd38b3f16a0e9b9945/test/dynamo/cpython/3_13/test_generators.py" TargetMode="External"/><Relationship Id="rId380" Type="http://schemas.openxmlformats.org/officeDocument/2006/relationships/hyperlink" Target="https://github.com/pytorch/pytorch/blob/c9df4276cda732c5678ea0cd38b3f16a0e9b9945/test/dynamo/cpython/3_13/test_generators.py" TargetMode="External"/><Relationship Id="rId139" Type="http://schemas.openxmlformats.org/officeDocument/2006/relationships/hyperlink" Target="https://github.com/pytorch/pytorch/blob/c9df4276cda732c5678ea0cd38b3f16a0e9b9945/test/dynamo/test_modules.py" TargetMode="External"/><Relationship Id="rId138" Type="http://schemas.openxmlformats.org/officeDocument/2006/relationships/hyperlink" Target="https://github.com/pytorch/pytorch/blob/c9df4276cda732c5678ea0cd38b3f16a0e9b9945/test/dynamo/test_modules.py" TargetMode="External"/><Relationship Id="rId259" Type="http://schemas.openxmlformats.org/officeDocument/2006/relationships/hyperlink" Target="https://github.com/pytorch/pytorch/blob/c9df4276cda732c5678ea0cd38b3f16a0e9b9945/test/dynamo/cpython/3_13/test_list.py" TargetMode="External"/><Relationship Id="rId137" Type="http://schemas.openxmlformats.org/officeDocument/2006/relationships/hyperlink" Target="mailto:xmfan@meta.com" TargetMode="External"/><Relationship Id="rId258" Type="http://schemas.openxmlformats.org/officeDocument/2006/relationships/hyperlink" Target="https://github.com/pytorch/pytorch/blob/c9df4276cda732c5678ea0cd38b3f16a0e9b9945/test/dynamo/cpython/3_13/test_dict.py" TargetMode="External"/><Relationship Id="rId379" Type="http://schemas.openxmlformats.org/officeDocument/2006/relationships/hyperlink" Target="https://github.com/pytorch/pytorch/blob/c9df4276cda732c5678ea0cd38b3f16a0e9b9945/test/dynamo/cpython/3_13/test_generators.py" TargetMode="External"/><Relationship Id="rId132" Type="http://schemas.openxmlformats.org/officeDocument/2006/relationships/hyperlink" Target="https://github.com/pytorch/pytorch/pull/178058" TargetMode="External"/><Relationship Id="rId253" Type="http://schemas.openxmlformats.org/officeDocument/2006/relationships/hyperlink" Target="https://github.com/pytorch/pytorch/blob/c9df4276cda732c5678ea0cd38b3f16a0e9b9945/test/dynamo/cpython/3_13/test_cmath.py" TargetMode="External"/><Relationship Id="rId374" Type="http://schemas.openxmlformats.org/officeDocument/2006/relationships/hyperlink" Target="https://github.com/pytorch/pytorch/blob/c9df4276cda732c5678ea0cd38b3f16a0e9b9945/test/dynamo/cpython/3_13/test_generators.py" TargetMode="External"/><Relationship Id="rId131" Type="http://schemas.openxmlformats.org/officeDocument/2006/relationships/hyperlink" Target="mailto:xmfan@meta.com" TargetMode="External"/><Relationship Id="rId252" Type="http://schemas.openxmlformats.org/officeDocument/2006/relationships/hyperlink" Target="https://github.com/pytorch/pytorch/blob/c9df4276cda732c5678ea0cd38b3f16a0e9b9945/test/dynamo/cpython/3_13/test_math.py" TargetMode="External"/><Relationship Id="rId373" Type="http://schemas.openxmlformats.org/officeDocument/2006/relationships/hyperlink" Target="https://github.com/pytorch/pytorch/blob/c9df4276cda732c5678ea0cd38b3f16a0e9b9945/test/dynamo/cpython/3_13/test_raise.py" TargetMode="External"/><Relationship Id="rId130" Type="http://schemas.openxmlformats.org/officeDocument/2006/relationships/hyperlink" Target="https://github.com/pytorch/pytorch/blob/c9df4276cda732c5678ea0cd38b3f16a0e9b9945/test/dynamo/test_activation_checkpointing.py" TargetMode="External"/><Relationship Id="rId251" Type="http://schemas.openxmlformats.org/officeDocument/2006/relationships/hyperlink" Target="https://github.com/pytorch/pytorch/blob/c9df4276cda732c5678ea0cd38b3f16a0e9b9945/test/dynamo/cpython/3_13/test_math.py" TargetMode="External"/><Relationship Id="rId372" Type="http://schemas.openxmlformats.org/officeDocument/2006/relationships/hyperlink" Target="https://github.com/pytorch/pytorch/blob/c9df4276cda732c5678ea0cd38b3f16a0e9b9945/test/dynamo/cpython/3_13/test_raise.py" TargetMode="External"/><Relationship Id="rId250" Type="http://schemas.openxmlformats.org/officeDocument/2006/relationships/hyperlink" Target="https://github.com/pytorch/pytorch/blob/c9df4276cda732c5678ea0cd38b3f16a0e9b9945/test/dynamo/cpython/3_13/test_math.py" TargetMode="External"/><Relationship Id="rId371" Type="http://schemas.openxmlformats.org/officeDocument/2006/relationships/hyperlink" Target="https://github.com/pytorch/pytorch/blob/c9df4276cda732c5678ea0cd38b3f16a0e9b9945/test/dynamo/cpython/3_13/test_raise.py" TargetMode="External"/><Relationship Id="rId136" Type="http://schemas.openxmlformats.org/officeDocument/2006/relationships/hyperlink" Target="https://github.com/pytorch/pytorch/blob/c9df4276cda732c5678ea0cd38b3f16a0e9b9945/test/dynamo/test_activation_offloading.py" TargetMode="External"/><Relationship Id="rId257" Type="http://schemas.openxmlformats.org/officeDocument/2006/relationships/hyperlink" Target="https://github.com/pytorch/pytorch/blob/c9df4276cda732c5678ea0cd38b3f16a0e9b9945/test/dynamo/cpython/3_13/test_dict.py" TargetMode="External"/><Relationship Id="rId378" Type="http://schemas.openxmlformats.org/officeDocument/2006/relationships/hyperlink" Target="https://github.com/pytorch/pytorch/blob/c9df4276cda732c5678ea0cd38b3f16a0e9b9945/test/dynamo/cpython/3_13/test_generators.py" TargetMode="External"/><Relationship Id="rId135" Type="http://schemas.openxmlformats.org/officeDocument/2006/relationships/hyperlink" Target="mailto:xmfan@meta.com" TargetMode="External"/><Relationship Id="rId256" Type="http://schemas.openxmlformats.org/officeDocument/2006/relationships/hyperlink" Target="https://github.com/pytorch/pytorch/blob/c9df4276cda732c5678ea0cd38b3f16a0e9b9945/test/dynamo/cpython/3_13/test_dict.py" TargetMode="External"/><Relationship Id="rId377" Type="http://schemas.openxmlformats.org/officeDocument/2006/relationships/hyperlink" Target="https://github.com/pytorch/pytorch/blob/c9df4276cda732c5678ea0cd38b3f16a0e9b9945/test/dynamo/cpython/3_13/test_generators.py" TargetMode="External"/><Relationship Id="rId134" Type="http://schemas.openxmlformats.org/officeDocument/2006/relationships/hyperlink" Target="https://github.com/pytorch/pytorch/blob/c9df4276cda732c5678ea0cd38b3f16a0e9b9945/test/dynamo/test_activation_offloading.py" TargetMode="External"/><Relationship Id="rId255" Type="http://schemas.openxmlformats.org/officeDocument/2006/relationships/hyperlink" Target="https://github.com/pytorch/pytorch/blob/c9df4276cda732c5678ea0cd38b3f16a0e9b9945/test/dynamo/cpython/3_13/test_dict.py" TargetMode="External"/><Relationship Id="rId376" Type="http://schemas.openxmlformats.org/officeDocument/2006/relationships/hyperlink" Target="https://github.com/pytorch/pytorch/blob/c9df4276cda732c5678ea0cd38b3f16a0e9b9945/test/dynamo/cpython/3_13/test_generators.py" TargetMode="External"/><Relationship Id="rId133" Type="http://schemas.openxmlformats.org/officeDocument/2006/relationships/hyperlink" Target="https://github.com/pytorch/pytorch/blob/c9df4276cda732c5678ea0cd38b3f16a0e9b9945/test/dynamo/test_activation_checkpointing.py" TargetMode="External"/><Relationship Id="rId254" Type="http://schemas.openxmlformats.org/officeDocument/2006/relationships/hyperlink" Target="https://github.com/pytorch/pytorch/blob/c9df4276cda732c5678ea0cd38b3f16a0e9b9945/test/dynamo/cpython/3_13/test_cmath.py" TargetMode="External"/><Relationship Id="rId375" Type="http://schemas.openxmlformats.org/officeDocument/2006/relationships/hyperlink" Target="https://github.com/pytorch/pytorch/blob/c9df4276cda732c5678ea0cd38b3f16a0e9b9945/test/dynamo/cpython/3_13/test_generators.py" TargetMode="External"/><Relationship Id="rId172" Type="http://schemas.openxmlformats.org/officeDocument/2006/relationships/hyperlink" Target="https://github.com/pytorch/pytorch/blob/c9df4276cda732c5678ea0cd38b3f16a0e9b9945/test/dynamo/test_streams.py" TargetMode="External"/><Relationship Id="rId293" Type="http://schemas.openxmlformats.org/officeDocument/2006/relationships/hyperlink" Target="https://github.com/pytorch/pytorch/blob/c9df4276cda732c5678ea0cd38b3f16a0e9b9945/test/dynamo/cpython/3_13/test_set.py" TargetMode="External"/><Relationship Id="rId171" Type="http://schemas.openxmlformats.org/officeDocument/2006/relationships/hyperlink" Target="https://github.com/pytorch/pytorch/blob/c9df4276cda732c5678ea0cd38b3f16a0e9b9945/test/dynamo/test_cudagraphs_expandable_segments.py" TargetMode="External"/><Relationship Id="rId292" Type="http://schemas.openxmlformats.org/officeDocument/2006/relationships/hyperlink" Target="https://github.com/pytorch/pytorch/blob/c9df4276cda732c5678ea0cd38b3f16a0e9b9945/test/dynamo/cpython/3_13/test_set.py" TargetMode="External"/><Relationship Id="rId170" Type="http://schemas.openxmlformats.org/officeDocument/2006/relationships/hyperlink" Target="https://github.com/pytorch/pytorch/blob/c9df4276cda732c5678ea0cd38b3f16a0e9b9945/test/dynamo/test_cudagraphs.py" TargetMode="External"/><Relationship Id="rId291" Type="http://schemas.openxmlformats.org/officeDocument/2006/relationships/hyperlink" Target="https://github.com/pytorch/pytorch/blob/c9df4276cda732c5678ea0cd38b3f16a0e9b9945/test/dynamo/cpython/3_13/test_set.py" TargetMode="External"/><Relationship Id="rId290" Type="http://schemas.openxmlformats.org/officeDocument/2006/relationships/hyperlink" Target="https://github.com/pytorch/pytorch/blob/c9df4276cda732c5678ea0cd38b3f16a0e9b9945/test/dynamo/cpython/3_13/test_set.py" TargetMode="External"/><Relationship Id="rId165" Type="http://schemas.openxmlformats.org/officeDocument/2006/relationships/hyperlink" Target="https://github.com/pytorch/pytorch/blob/c9df4276cda732c5678ea0cd38b3f16a0e9b9945/test/dynamo/test_subclasses.py" TargetMode="External"/><Relationship Id="rId286" Type="http://schemas.openxmlformats.org/officeDocument/2006/relationships/hyperlink" Target="https://github.com/pytorch/pytorch/blob/c9df4276cda732c5678ea0cd38b3f16a0e9b9945/test/dynamo/cpython/3_13/test_set.py" TargetMode="External"/><Relationship Id="rId164" Type="http://schemas.openxmlformats.org/officeDocument/2006/relationships/hyperlink" Target="https://github.com/pytorch/pytorch/pull/185238" TargetMode="External"/><Relationship Id="rId285" Type="http://schemas.openxmlformats.org/officeDocument/2006/relationships/hyperlink" Target="https://github.com/pytorch/pytorch/blob/c9df4276cda732c5678ea0cd38b3f16a0e9b9945/test/dynamo/cpython/3_13/test_set.py" TargetMode="External"/><Relationship Id="rId163" Type="http://schemas.openxmlformats.org/officeDocument/2006/relationships/hyperlink" Target="https://github.com/pytorch/pytorch/blob/c9df4276cda732c5678ea0cd38b3f16a0e9b9945/test/dynamo/test_subclasses.py" TargetMode="External"/><Relationship Id="rId284" Type="http://schemas.openxmlformats.org/officeDocument/2006/relationships/hyperlink" Target="https://github.com/pytorch/pytorch/blob/c9df4276cda732c5678ea0cd38b3f16a0e9b9945/test/dynamo/cpython/3_13/test_set.py" TargetMode="External"/><Relationship Id="rId162" Type="http://schemas.openxmlformats.org/officeDocument/2006/relationships/hyperlink" Target="https://github.com/pytorch/pytorch/pull/179893" TargetMode="External"/><Relationship Id="rId283" Type="http://schemas.openxmlformats.org/officeDocument/2006/relationships/hyperlink" Target="https://github.com/pytorch/pytorch/blob/c9df4276cda732c5678ea0cd38b3f16a0e9b9945/test/dynamo/cpython/3_13/test_set.py" TargetMode="External"/><Relationship Id="rId169" Type="http://schemas.openxmlformats.org/officeDocument/2006/relationships/hyperlink" Target="https://github.com/pytorch/pytorch/pull/185210" TargetMode="External"/><Relationship Id="rId168" Type="http://schemas.openxmlformats.org/officeDocument/2006/relationships/hyperlink" Target="https://github.com/pytorch/pytorch/blob/c9df4276cda732c5678ea0cd38b3f16a0e9b9945/test/dynamo/test_reconstruct.py" TargetMode="External"/><Relationship Id="rId289" Type="http://schemas.openxmlformats.org/officeDocument/2006/relationships/hyperlink" Target="https://github.com/pytorch/pytorch/blob/c9df4276cda732c5678ea0cd38b3f16a0e9b9945/test/dynamo/cpython/3_13/test_set.py" TargetMode="External"/><Relationship Id="rId167" Type="http://schemas.openxmlformats.org/officeDocument/2006/relationships/hyperlink" Target="https://github.com/pytorch/pytorch/blob/c9df4276cda732c5678ea0cd38b3f16a0e9b9945/test/dynamo/test_view.py" TargetMode="External"/><Relationship Id="rId288" Type="http://schemas.openxmlformats.org/officeDocument/2006/relationships/hyperlink" Target="https://github.com/pytorch/pytorch/blob/c9df4276cda732c5678ea0cd38b3f16a0e9b9945/test/dynamo/cpython/3_13/test_set.py" TargetMode="External"/><Relationship Id="rId166" Type="http://schemas.openxmlformats.org/officeDocument/2006/relationships/hyperlink" Target="https://github.com/pytorch/pytorch/pull/185238" TargetMode="External"/><Relationship Id="rId287" Type="http://schemas.openxmlformats.org/officeDocument/2006/relationships/hyperlink" Target="https://github.com/pytorch/pytorch/blob/c9df4276cda732c5678ea0cd38b3f16a0e9b9945/test/dynamo/cpython/3_13/test_set.py" TargetMode="External"/><Relationship Id="rId161" Type="http://schemas.openxmlformats.org/officeDocument/2006/relationships/hyperlink" Target="https://github.com/pytorch/pytorch/blob/c9df4276cda732c5678ea0cd38b3f16a0e9b9945/test/dynamo/test_modes.py" TargetMode="External"/><Relationship Id="rId282" Type="http://schemas.openxmlformats.org/officeDocument/2006/relationships/hyperlink" Target="https://github.com/pytorch/pytorch/blob/c9df4276cda732c5678ea0cd38b3f16a0e9b9945/test/dynamo/cpython/3_13/test_set.py" TargetMode="External"/><Relationship Id="rId160" Type="http://schemas.openxmlformats.org/officeDocument/2006/relationships/hyperlink" Target="https://github.com/pytorch/pytorch/pull/179893" TargetMode="External"/><Relationship Id="rId281" Type="http://schemas.openxmlformats.org/officeDocument/2006/relationships/hyperlink" Target="https://github.com/pytorch/pytorch/blob/c9df4276cda732c5678ea0cd38b3f16a0e9b9945/test/dynamo/cpython/3_13/test_set.py" TargetMode="External"/><Relationship Id="rId280" Type="http://schemas.openxmlformats.org/officeDocument/2006/relationships/hyperlink" Target="https://github.com/pytorch/pytorch/blob/c9df4276cda732c5678ea0cd38b3f16a0e9b9945/test/dynamo/cpython/3_13/test_set.py" TargetMode="External"/><Relationship Id="rId159" Type="http://schemas.openxmlformats.org/officeDocument/2006/relationships/hyperlink" Target="https://github.com/pytorch/pytorch/blob/c9df4276cda732c5678ea0cd38b3f16a0e9b9945/test/dynamo/test_modes.py" TargetMode="External"/><Relationship Id="rId154" Type="http://schemas.openxmlformats.org/officeDocument/2006/relationships/hyperlink" Target="https://github.com/pytorch/pytorch/blob/c9df4276cda732c5678ea0cd38b3f16a0e9b9945/test/dynamo/test_dynamic_shapes.py" TargetMode="External"/><Relationship Id="rId275" Type="http://schemas.openxmlformats.org/officeDocument/2006/relationships/hyperlink" Target="https://github.com/pytorch/pytorch/blob/c9df4276cda732c5678ea0cd38b3f16a0e9b9945/test/dynamo/cpython/3_13/test_set.py" TargetMode="External"/><Relationship Id="rId396" Type="http://schemas.openxmlformats.org/officeDocument/2006/relationships/hyperlink" Target="https://github.com/pytorch/pytorch/blob/c9df4276cda732c5678ea0cd38b3f16a0e9b9945/test/dynamo/cpython/3_13/test_with.py" TargetMode="External"/><Relationship Id="rId153" Type="http://schemas.openxmlformats.org/officeDocument/2006/relationships/hyperlink" Target="https://github.com/pytorch/pytorch/blob/c9df4276cda732c5678ea0cd38b3f16a0e9b9945/test/dynamo/test_fx_passes_pre_grad.py" TargetMode="External"/><Relationship Id="rId274" Type="http://schemas.openxmlformats.org/officeDocument/2006/relationships/hyperlink" Target="https://github.com/pytorch/pytorch/blob/c9df4276cda732c5678ea0cd38b3f16a0e9b9945/test/dynamo/cpython/3_13/test_set.py" TargetMode="External"/><Relationship Id="rId395" Type="http://schemas.openxmlformats.org/officeDocument/2006/relationships/hyperlink" Target="https://github.com/pytorch/pytorch/blob/c9df4276cda732c5678ea0cd38b3f16a0e9b9945/test/dynamo/cpython/3_13/test_contextlib.py" TargetMode="External"/><Relationship Id="rId152" Type="http://schemas.openxmlformats.org/officeDocument/2006/relationships/hyperlink" Target="https://github.com/pytorch/pytorch/blob/c9df4276cda732c5678ea0cd38b3f16a0e9b9945/test/dynamo/test_fx_graph_runnable.py" TargetMode="External"/><Relationship Id="rId273" Type="http://schemas.openxmlformats.org/officeDocument/2006/relationships/hyperlink" Target="https://github.com/pytorch/pytorch/blob/c9df4276cda732c5678ea0cd38b3f16a0e9b9945/test/dynamo/cpython/3_13/test_set.py" TargetMode="External"/><Relationship Id="rId394" Type="http://schemas.openxmlformats.org/officeDocument/2006/relationships/hyperlink" Target="https://github.com/pytorch/pytorch/blob/c9df4276cda732c5678ea0cd38b3f16a0e9b9945/test/dynamo/cpython/3_13/test_contextlib.py" TargetMode="External"/><Relationship Id="rId151" Type="http://schemas.openxmlformats.org/officeDocument/2006/relationships/hyperlink" Target="https://github.com/pytorch/pytorch/pull/185229" TargetMode="External"/><Relationship Id="rId272" Type="http://schemas.openxmlformats.org/officeDocument/2006/relationships/hyperlink" Target="https://github.com/pytorch/pytorch/blob/c9df4276cda732c5678ea0cd38b3f16a0e9b9945/test/dynamo/cpython/3_13/test_set.py" TargetMode="External"/><Relationship Id="rId393" Type="http://schemas.openxmlformats.org/officeDocument/2006/relationships/hyperlink" Target="https://github.com/pytorch/pytorch/blob/c9df4276cda732c5678ea0cd38b3f16a0e9b9945/test/dynamo/cpython/3_13/test_contextlib.py" TargetMode="External"/><Relationship Id="rId158" Type="http://schemas.openxmlformats.org/officeDocument/2006/relationships/hyperlink" Target="mailto:mlazos@meta.com" TargetMode="External"/><Relationship Id="rId279" Type="http://schemas.openxmlformats.org/officeDocument/2006/relationships/hyperlink" Target="https://github.com/pytorch/pytorch/blob/c9df4276cda732c5678ea0cd38b3f16a0e9b9945/test/dynamo/cpython/3_13/test_set.py" TargetMode="External"/><Relationship Id="rId157" Type="http://schemas.openxmlformats.org/officeDocument/2006/relationships/hyperlink" Target="https://github.com/pytorch/pytorch/blob/c9df4276cda732c5678ea0cd38b3f16a0e9b9945/test/dynamo/test_modes.py" TargetMode="External"/><Relationship Id="rId278" Type="http://schemas.openxmlformats.org/officeDocument/2006/relationships/hyperlink" Target="https://github.com/pytorch/pytorch/blob/c9df4276cda732c5678ea0cd38b3f16a0e9b9945/test/dynamo/cpython/3_13/test_set.py" TargetMode="External"/><Relationship Id="rId399" Type="http://schemas.openxmlformats.org/officeDocument/2006/relationships/hyperlink" Target="https://github.com/pytorch/pytorch/blob/c9df4276cda732c5678ea0cd38b3f16a0e9b9945/test/dynamo/cpython/3_13/test_with.py" TargetMode="External"/><Relationship Id="rId156" Type="http://schemas.openxmlformats.org/officeDocument/2006/relationships/hyperlink" Target="https://github.com/pytorch/pytorch/pull/179893" TargetMode="External"/><Relationship Id="rId277" Type="http://schemas.openxmlformats.org/officeDocument/2006/relationships/hyperlink" Target="https://github.com/pytorch/pytorch/blob/c9df4276cda732c5678ea0cd38b3f16a0e9b9945/test/dynamo/cpython/3_13/test_set.py" TargetMode="External"/><Relationship Id="rId398" Type="http://schemas.openxmlformats.org/officeDocument/2006/relationships/hyperlink" Target="https://github.com/pytorch/pytorch/blob/c9df4276cda732c5678ea0cd38b3f16a0e9b9945/test/dynamo/cpython/3_13/test_with.py" TargetMode="External"/><Relationship Id="rId155" Type="http://schemas.openxmlformats.org/officeDocument/2006/relationships/hyperlink" Target="https://github.com/pytorch/pytorch/blob/c9df4276cda732c5678ea0cd38b3f16a0e9b9945/test/dynamo/test_modes.py" TargetMode="External"/><Relationship Id="rId276" Type="http://schemas.openxmlformats.org/officeDocument/2006/relationships/hyperlink" Target="https://github.com/pytorch/pytorch/blob/c9df4276cda732c5678ea0cd38b3f16a0e9b9945/test/dynamo/cpython/3_13/test_set.py" TargetMode="External"/><Relationship Id="rId397" Type="http://schemas.openxmlformats.org/officeDocument/2006/relationships/hyperlink" Target="https://github.com/pytorch/pytorch/blob/c9df4276cda732c5678ea0cd38b3f16a0e9b9945/test/dynamo/cpython/3_13/test_with.py" TargetMode="External"/><Relationship Id="rId40" Type="http://schemas.openxmlformats.org/officeDocument/2006/relationships/hyperlink" Target="https://github.com/pytorch/pytorch/blob/c9df4276cda732c5678ea0cd38b3f16a0e9b9945/test/dynamo/test_recompile_ux.py" TargetMode="External"/><Relationship Id="rId42" Type="http://schemas.openxmlformats.org/officeDocument/2006/relationships/hyperlink" Target="https://github.com/pytorch/pytorch/blob/c9df4276cda732c5678ea0cd38b3f16a0e9b9945/test/dynamo/test_unspec.py" TargetMode="External"/><Relationship Id="rId41" Type="http://schemas.openxmlformats.org/officeDocument/2006/relationships/hyperlink" Target="https://github.com/pytorch/pytorch/blob/c9df4276cda732c5678ea0cd38b3f16a0e9b9945/test/dynamo/test_skip_guard_eval_unsafe.py" TargetMode="External"/><Relationship Id="rId44" Type="http://schemas.openxmlformats.org/officeDocument/2006/relationships/hyperlink" Target="https://github.com/pytorch/pytorch/blob/c9df4276cda732c5678ea0cd38b3f16a0e9b9945/test/dynamo/test_unspec.py" TargetMode="External"/><Relationship Id="rId43" Type="http://schemas.openxmlformats.org/officeDocument/2006/relationships/hyperlink" Target="https://github.com/pytorch/pytorch/pull/180328" TargetMode="External"/><Relationship Id="rId46" Type="http://schemas.openxmlformats.org/officeDocument/2006/relationships/hyperlink" Target="https://github.com/pytorch/pytorch/blob/c9df4276cda732c5678ea0cd38b3f16a0e9b9945/test/dynamo/test_input_attr_tracking.py" TargetMode="External"/><Relationship Id="rId45" Type="http://schemas.openxmlformats.org/officeDocument/2006/relationships/hyperlink" Target="https://github.com/pytorch/pytorch/pull/180328" TargetMode="External"/><Relationship Id="rId48" Type="http://schemas.openxmlformats.org/officeDocument/2006/relationships/hyperlink" Target="https://github.com/pytorch/pytorch/blob/c9df4276cda732c5678ea0cd38b3f16a0e9b9945/test/dynamo/test_check_type_id.py" TargetMode="External"/><Relationship Id="rId47" Type="http://schemas.openxmlformats.org/officeDocument/2006/relationships/hyperlink" Target="https://github.com/pytorch/pytorch/blob/c9df4276cda732c5678ea0cd38b3f16a0e9b9945/test/dynamo/test_skip_non_tensor.py" TargetMode="External"/><Relationship Id="rId49" Type="http://schemas.openxmlformats.org/officeDocument/2006/relationships/hyperlink" Target="https://github.com/pytorch/pytorch/blob/c9df4276cda732c5678ea0cd38b3f16a0e9b9945/test/dynamo/test_dicts.py" TargetMode="External"/><Relationship Id="rId31" Type="http://schemas.openxmlformats.org/officeDocument/2006/relationships/hyperlink" Target="https://github.com/pytorch/pytorch/pull/179120" TargetMode="External"/><Relationship Id="rId30" Type="http://schemas.openxmlformats.org/officeDocument/2006/relationships/hyperlink" Target="https://github.com/pytorch/pytorch/blob/c9df4276cda732c5678ea0cd38b3f16a0e9b9945/test/dynamo/test_guard_manager.py" TargetMode="External"/><Relationship Id="rId33" Type="http://schemas.openxmlformats.org/officeDocument/2006/relationships/hyperlink" Target="https://github.com/pytorch/pytorch/blob/c9df4276cda732c5678ea0cd38b3f16a0e9b9945/test/dynamo/test_guard_manager.py" TargetMode="External"/><Relationship Id="rId32" Type="http://schemas.openxmlformats.org/officeDocument/2006/relationships/hyperlink" Target="https://github.com/pytorch/pytorch/blob/c9df4276cda732c5678ea0cd38b3f16a0e9b9945/test/dynamo/test_guard_manager.py" TargetMode="External"/><Relationship Id="rId35" Type="http://schemas.openxmlformats.org/officeDocument/2006/relationships/hyperlink" Target="https://github.com/pytorch/pytorch/blob/c9df4276cda732c5678ea0cd38b3f16a0e9b9945/test/dynamo/test_guard_manager.py" TargetMode="External"/><Relationship Id="rId34" Type="http://schemas.openxmlformats.org/officeDocument/2006/relationships/hyperlink" Target="https://github.com/pytorch/pytorch/blob/c9df4276cda732c5678ea0cd38b3f16a0e9b9945/test/dynamo/test_guard_manager.py" TargetMode="External"/><Relationship Id="rId37" Type="http://schemas.openxmlformats.org/officeDocument/2006/relationships/hyperlink" Target="https://github.com/pytorch/pytorch/blob/c9df4276cda732c5678ea0cd38b3f16a0e9b9945/test/dynamo/test_guard_serialization.py" TargetMode="External"/><Relationship Id="rId36" Type="http://schemas.openxmlformats.org/officeDocument/2006/relationships/hyperlink" Target="https://github.com/pytorch/pytorch/blob/c9df4276cda732c5678ea0cd38b3f16a0e9b9945/test/dynamo/test_guard_manager.py" TargetMode="External"/><Relationship Id="rId39" Type="http://schemas.openxmlformats.org/officeDocument/2006/relationships/hyperlink" Target="https://github.com/pytorch/pytorch/blob/c9df4276cda732c5678ea0cd38b3f16a0e9b9945/test/dynamo/test_recompiles.py" TargetMode="External"/><Relationship Id="rId38" Type="http://schemas.openxmlformats.org/officeDocument/2006/relationships/hyperlink" Target="https://github.com/pytorch/pytorch/pull/178736" TargetMode="External"/><Relationship Id="rId20" Type="http://schemas.openxmlformats.org/officeDocument/2006/relationships/hyperlink" Target="https://github.com/pytorch/pytorch/blob/c9df4276cda732c5678ea0cd38b3f16a0e9b9945/test/dynamo/test_trace_rules.py" TargetMode="External"/><Relationship Id="rId22" Type="http://schemas.openxmlformats.org/officeDocument/2006/relationships/hyperlink" Target="https://github.com/pytorch/pytorch/blob/c9df4276cda732c5678ea0cd38b3f16a0e9b9945/test/dynamo/test_sources.py" TargetMode="External"/><Relationship Id="rId21" Type="http://schemas.openxmlformats.org/officeDocument/2006/relationships/hyperlink" Target="https://github.com/pytorch/pytorch/blob/c9df4276cda732c5678ea0cd38b3f16a0e9b9945/test/dynamo/test_trace_rules.py" TargetMode="External"/><Relationship Id="rId24" Type="http://schemas.openxmlformats.org/officeDocument/2006/relationships/hyperlink" Target="https://github.com/pytorch/pytorch/blob/c9df4276cda732c5678ea0cd38b3f16a0e9b9945/test/dynamo/test_graph_deduplication.py" TargetMode="External"/><Relationship Id="rId23" Type="http://schemas.openxmlformats.org/officeDocument/2006/relationships/hyperlink" Target="https://github.com/pytorch/pytorch/blob/c9df4276cda732c5678ea0cd38b3f16a0e9b9945/test/dynamo/test_nops.py" TargetMode="External"/><Relationship Id="rId409" Type="http://schemas.openxmlformats.org/officeDocument/2006/relationships/hyperlink" Target="https://github.com/pytorch/pytorch/blob/c9df4276cda732c5678ea0cd38b3f16a0e9b9945/test/dynamo/cpython/3_13/test_patma.py" TargetMode="External"/><Relationship Id="rId404" Type="http://schemas.openxmlformats.org/officeDocument/2006/relationships/hyperlink" Target="https://github.com/pytorch/pytorch/blob/c9df4276cda732c5678ea0cd38b3f16a0e9b9945/test/dynamo/cpython/3_13/test_patma.py" TargetMode="External"/><Relationship Id="rId403" Type="http://schemas.openxmlformats.org/officeDocument/2006/relationships/hyperlink" Target="https://github.com/pytorch/pytorch/blob/c9df4276cda732c5678ea0cd38b3f16a0e9b9945/test/dynamo/cpython/3_13/test_patma.py" TargetMode="External"/><Relationship Id="rId402" Type="http://schemas.openxmlformats.org/officeDocument/2006/relationships/hyperlink" Target="https://github.com/pytorch/pytorch/blob/c9df4276cda732c5678ea0cd38b3f16a0e9b9945/test/dynamo/cpython/3_13/test_with.py" TargetMode="External"/><Relationship Id="rId401" Type="http://schemas.openxmlformats.org/officeDocument/2006/relationships/hyperlink" Target="https://github.com/pytorch/pytorch/blob/c9df4276cda732c5678ea0cd38b3f16a0e9b9945/test/dynamo/cpython/3_13/test_with.py" TargetMode="External"/><Relationship Id="rId408" Type="http://schemas.openxmlformats.org/officeDocument/2006/relationships/hyperlink" Target="https://github.com/pytorch/pytorch/blob/c9df4276cda732c5678ea0cd38b3f16a0e9b9945/test/dynamo/cpython/3_13/test_patma.py" TargetMode="External"/><Relationship Id="rId407" Type="http://schemas.openxmlformats.org/officeDocument/2006/relationships/hyperlink" Target="https://github.com/pytorch/pytorch/blob/c9df4276cda732c5678ea0cd38b3f16a0e9b9945/test/dynamo/cpython/3_13/test_patma.py" TargetMode="External"/><Relationship Id="rId406" Type="http://schemas.openxmlformats.org/officeDocument/2006/relationships/hyperlink" Target="https://github.com/pytorch/pytorch/blob/c9df4276cda732c5678ea0cd38b3f16a0e9b9945/test/dynamo/cpython/3_13/test_patma.py" TargetMode="External"/><Relationship Id="rId405" Type="http://schemas.openxmlformats.org/officeDocument/2006/relationships/hyperlink" Target="https://github.com/pytorch/pytorch/blob/c9df4276cda732c5678ea0cd38b3f16a0e9b9945/test/dynamo/cpython/3_13/test_patma.py" TargetMode="External"/><Relationship Id="rId26" Type="http://schemas.openxmlformats.org/officeDocument/2006/relationships/hyperlink" Target="https://github.com/pytorch/pytorch/blob/c9df4276cda732c5678ea0cd38b3f16a0e9b9945/test/dynamo/test_install_free_tensors.py" TargetMode="External"/><Relationship Id="rId25" Type="http://schemas.openxmlformats.org/officeDocument/2006/relationships/hyperlink" Target="https://github.com/pytorch/pytorch/blob/c9df4276cda732c5678ea0cd38b3f16a0e9b9945/test/dynamo/test_graph_region_tracker.py" TargetMode="External"/><Relationship Id="rId28" Type="http://schemas.openxmlformats.org/officeDocument/2006/relationships/hyperlink" Target="https://github.com/pytorch/pytorch/blob/c9df4276cda732c5678ea0cd38b3f16a0e9b9945/test/dynamo/test_flat_apply.py" TargetMode="External"/><Relationship Id="rId27" Type="http://schemas.openxmlformats.org/officeDocument/2006/relationships/hyperlink" Target="https://github.com/pytorch/pytorch/blob/c9df4276cda732c5678ea0cd38b3f16a0e9b9945/test/dynamo/test_install_free_tensors.py" TargetMode="External"/><Relationship Id="rId400" Type="http://schemas.openxmlformats.org/officeDocument/2006/relationships/hyperlink" Target="https://github.com/pytorch/pytorch/blob/c9df4276cda732c5678ea0cd38b3f16a0e9b9945/test/dynamo/cpython/3_13/test_with.py" TargetMode="External"/><Relationship Id="rId29" Type="http://schemas.openxmlformats.org/officeDocument/2006/relationships/hyperlink" Target="https://github.com/pytorch/pytorch/blob/c9df4276cda732c5678ea0cd38b3f16a0e9b9945/test/dynamo/test_flat_apply.py" TargetMode="External"/><Relationship Id="rId11" Type="http://schemas.openxmlformats.org/officeDocument/2006/relationships/hyperlink" Target="https://github.com/pytorch/pytorch/pull/180344" TargetMode="External"/><Relationship Id="rId10" Type="http://schemas.openxmlformats.org/officeDocument/2006/relationships/hyperlink" Target="https://github.com/pytorch/pytorch/blob/c9df4276cda732c5678ea0cd38b3f16a0e9b9945/test/dynamo/test_functions.py" TargetMode="External"/><Relationship Id="rId13" Type="http://schemas.openxmlformats.org/officeDocument/2006/relationships/hyperlink" Target="https://github.com/pytorch/pytorch/blob/c9df4276cda732c5678ea0cd38b3f16a0e9b9945/test/dynamo/test_comprehensions.py" TargetMode="External"/><Relationship Id="rId12" Type="http://schemas.openxmlformats.org/officeDocument/2006/relationships/hyperlink" Target="https://github.com/pytorch/pytorch/blob/c9df4276cda732c5678ea0cd38b3f16a0e9b9945/test/dynamo/test_functions.py" TargetMode="External"/><Relationship Id="rId15" Type="http://schemas.openxmlformats.org/officeDocument/2006/relationships/hyperlink" Target="https://github.com/pytorch/pytorch/blob/c9df4276cda732c5678ea0cd38b3f16a0e9b9945/test/dynamo/test_bytecode_utils.py" TargetMode="External"/><Relationship Id="rId14" Type="http://schemas.openxmlformats.org/officeDocument/2006/relationships/hyperlink" Target="https://github.com/pytorch/pytorch/blob/c9df4276cda732c5678ea0cd38b3f16a0e9b9945/test/dynamo/test_decorators.py" TargetMode="External"/><Relationship Id="rId17" Type="http://schemas.openxmlformats.org/officeDocument/2006/relationships/hyperlink" Target="https://github.com/pytorch/pytorch/blob/c9df4276cda732c5678ea0cd38b3f16a0e9b9945/test/dynamo/test_frame_init.py" TargetMode="External"/><Relationship Id="rId16" Type="http://schemas.openxmlformats.org/officeDocument/2006/relationships/hyperlink" Target="https://github.com/pytorch/pytorch/blob/c9df4276cda732c5678ea0cd38b3f16a0e9b9945/test/dynamo/test_bytecode_utils.py" TargetMode="External"/><Relationship Id="rId19" Type="http://schemas.openxmlformats.org/officeDocument/2006/relationships/hyperlink" Target="https://github.com/pytorch/pytorch/blob/c9df4276cda732c5678ea0cd38b3f16a0e9b9945/test/dynamo/test_trace_rules.py" TargetMode="External"/><Relationship Id="rId18" Type="http://schemas.openxmlformats.org/officeDocument/2006/relationships/hyperlink" Target="https://github.com/pytorch/pytorch/blob/c9df4276cda732c5678ea0cd38b3f16a0e9b9945/test/dynamo/test_resume.py" TargetMode="External"/><Relationship Id="rId84" Type="http://schemas.openxmlformats.org/officeDocument/2006/relationships/hyperlink" Target="https://github.com/pytorch/pytorch/blob/c9df4276cda732c5678ea0cd38b3f16a0e9b9945/test/dynamo/test_backends.py" TargetMode="External"/><Relationship Id="rId83" Type="http://schemas.openxmlformats.org/officeDocument/2006/relationships/hyperlink" Target="https://github.com/pytorch/pytorch/blob/c9df4276cda732c5678ea0cd38b3f16a0e9b9945/test/dynamo/test_backends.py" TargetMode="External"/><Relationship Id="rId86" Type="http://schemas.openxmlformats.org/officeDocument/2006/relationships/hyperlink" Target="https://github.com/pytorch/pytorch/blob/c9df4276cda732c5678ea0cd38b3f16a0e9b9945/test/dynamo/test_backends.py" TargetMode="External"/><Relationship Id="rId85" Type="http://schemas.openxmlformats.org/officeDocument/2006/relationships/hyperlink" Target="https://github.com/pytorch/pytorch/blob/c9df4276cda732c5678ea0cd38b3f16a0e9b9945/test/dynamo/test_backends.py" TargetMode="External"/><Relationship Id="rId88" Type="http://schemas.openxmlformats.org/officeDocument/2006/relationships/hyperlink" Target="https://github.com/pytorch/pytorch/pull/185131" TargetMode="External"/><Relationship Id="rId87" Type="http://schemas.openxmlformats.org/officeDocument/2006/relationships/hyperlink" Target="https://github.com/pytorch/pytorch/blob/c9df4276cda732c5678ea0cd38b3f16a0e9b9945/test/dynamo/test_compiler_bisector.py" TargetMode="External"/><Relationship Id="rId89" Type="http://schemas.openxmlformats.org/officeDocument/2006/relationships/hyperlink" Target="https://github.com/pytorch/pytorch/blob/c9df4276cda732c5678ea0cd38b3f16a0e9b9945/test/dynamo/test_verify_correctness.py" TargetMode="External"/><Relationship Id="rId80" Type="http://schemas.openxmlformats.org/officeDocument/2006/relationships/hyperlink" Target="https://github.com/pytorch/pytorch/blob/c9df4276cda732c5678ea0cd38b3f16a0e9b9945/test/dynamo/test_lazy_constant.py" TargetMode="External"/><Relationship Id="rId82" Type="http://schemas.openxmlformats.org/officeDocument/2006/relationships/hyperlink" Target="https://github.com/pytorch/pytorch/pull/178146" TargetMode="External"/><Relationship Id="rId81" Type="http://schemas.openxmlformats.org/officeDocument/2006/relationships/hyperlink" Target="https://github.com/pytorch/pytorch/blob/c9df4276cda732c5678ea0cd38b3f16a0e9b9945/test/dynamo/test_backends.py" TargetMode="External"/><Relationship Id="rId73" Type="http://schemas.openxmlformats.org/officeDocument/2006/relationships/hyperlink" Target="https://github.com/pytorch/pytorch/pull/181523" TargetMode="External"/><Relationship Id="rId72" Type="http://schemas.openxmlformats.org/officeDocument/2006/relationships/hyperlink" Target="https://github.com/pytorch/pytorch/blob/c9df4276cda732c5678ea0cd38b3f16a0e9b9945/test/dynamo/test_ctx_manager.py" TargetMode="External"/><Relationship Id="rId75" Type="http://schemas.openxmlformats.org/officeDocument/2006/relationships/hyperlink" Target="https://github.com/pytorch/pytorch/blob/c9df4276cda732c5678ea0cd38b3f16a0e9b9945/test/dynamo/test_generator.py" TargetMode="External"/><Relationship Id="rId74" Type="http://schemas.openxmlformats.org/officeDocument/2006/relationships/hyperlink" Target="https://github.com/pytorch/pytorch/blob/c9df4276cda732c5678ea0cd38b3f16a0e9b9945/test/dynamo/test_exitstack.py" TargetMode="External"/><Relationship Id="rId77" Type="http://schemas.openxmlformats.org/officeDocument/2006/relationships/hyperlink" Target="https://github.com/pytorch/pytorch/blob/c9df4276cda732c5678ea0cd38b3f16a0e9b9945/test/dynamo/test_generator.py" TargetMode="External"/><Relationship Id="rId76" Type="http://schemas.openxmlformats.org/officeDocument/2006/relationships/hyperlink" Target="https://github.com/pytorch/pytorch/blob/c9df4276cda732c5678ea0cd38b3f16a0e9b9945/test/dynamo/test_generator.py" TargetMode="External"/><Relationship Id="rId79" Type="http://schemas.openxmlformats.org/officeDocument/2006/relationships/hyperlink" Target="https://github.com/pytorch/pytorch/blob/c9df4276cda732c5678ea0cd38b3f16a0e9b9945/test/dynamo/test_global.py" TargetMode="External"/><Relationship Id="rId78" Type="http://schemas.openxmlformats.org/officeDocument/2006/relationships/hyperlink" Target="https://github.com/pytorch/pytorch/blob/c9df4276cda732c5678ea0cd38b3f16a0e9b9945/test/dynamo/test_generator.py" TargetMode="External"/><Relationship Id="rId71" Type="http://schemas.openxmlformats.org/officeDocument/2006/relationships/hyperlink" Target="https://github.com/pytorch/pytorch/pull/181521" TargetMode="External"/><Relationship Id="rId70" Type="http://schemas.openxmlformats.org/officeDocument/2006/relationships/hyperlink" Target="https://github.com/pytorch/pytorch/blob/c9df4276cda732c5678ea0cd38b3f16a0e9b9945/test/dynamo/test_ctx_manager.py" TargetMode="External"/><Relationship Id="rId62" Type="http://schemas.openxmlformats.org/officeDocument/2006/relationships/hyperlink" Target="https://github.com/pytorch/pytorch/blob/c9df4276cda732c5678ea0cd38b3f16a0e9b9945/test/dynamo/test_sets.py" TargetMode="External"/><Relationship Id="rId61" Type="http://schemas.openxmlformats.org/officeDocument/2006/relationships/hyperlink" Target="https://github.com/pytorch/pytorch/blob/c9df4276cda732c5678ea0cd38b3f16a0e9b9945/test/dynamo/test_sets.py" TargetMode="External"/><Relationship Id="rId64" Type="http://schemas.openxmlformats.org/officeDocument/2006/relationships/hyperlink" Target="https://github.com/pytorch/pytorch/blob/c9df4276cda732c5678ea0cd38b3f16a0e9b9945/test/dynamo/test_sets.py" TargetMode="External"/><Relationship Id="rId63" Type="http://schemas.openxmlformats.org/officeDocument/2006/relationships/hyperlink" Target="https://github.com/pytorch/pytorch/blob/c9df4276cda732c5678ea0cd38b3f16a0e9b9945/test/dynamo/test_sets.py" TargetMode="External"/><Relationship Id="rId66" Type="http://schemas.openxmlformats.org/officeDocument/2006/relationships/hyperlink" Target="https://github.com/pytorch/pytorch/blob/c9df4276cda732c5678ea0cd38b3f16a0e9b9945/test/dynamo/test_deque_reconstruct.py" TargetMode="External"/><Relationship Id="rId65" Type="http://schemas.openxmlformats.org/officeDocument/2006/relationships/hyperlink" Target="https://github.com/pytorch/pytorch/blob/c9df4276cda732c5678ea0cd38b3f16a0e9b9945/test/dynamo/test_sets.py" TargetMode="External"/><Relationship Id="rId68" Type="http://schemas.openxmlformats.org/officeDocument/2006/relationships/hyperlink" Target="https://github.com/pytorch/pytorch/blob/c9df4276cda732c5678ea0cd38b3f16a0e9b9945/test/dynamo/test_exceptions.py" TargetMode="External"/><Relationship Id="rId67" Type="http://schemas.openxmlformats.org/officeDocument/2006/relationships/hyperlink" Target="https://github.com/pytorch/pytorch/blob/c9df4276cda732c5678ea0cd38b3f16a0e9b9945/test/dynamo/test_enum.py" TargetMode="External"/><Relationship Id="rId60" Type="http://schemas.openxmlformats.org/officeDocument/2006/relationships/hyperlink" Target="https://github.com/pytorch/pytorch/blob/c9df4276cda732c5678ea0cd38b3f16a0e9b9945/test/dynamo/test_sets.py" TargetMode="External"/><Relationship Id="rId69" Type="http://schemas.openxmlformats.org/officeDocument/2006/relationships/hyperlink" Target="https://github.com/pytorch/pytorch/blob/c9df4276cda732c5678ea0cd38b3f16a0e9b9945/test/dynamo/test_exc.py" TargetMode="External"/><Relationship Id="rId51" Type="http://schemas.openxmlformats.org/officeDocument/2006/relationships/hyperlink" Target="https://github.com/pytorch/pytorch/blob/c9df4276cda732c5678ea0cd38b3f16a0e9b9945/test/dynamo/test_dicts.py" TargetMode="External"/><Relationship Id="rId50" Type="http://schemas.openxmlformats.org/officeDocument/2006/relationships/hyperlink" Target="https://github.com/pytorch/pytorch/blob/c9df4276cda732c5678ea0cd38b3f16a0e9b9945/test/dynamo/test_dicts.py" TargetMode="External"/><Relationship Id="rId53" Type="http://schemas.openxmlformats.org/officeDocument/2006/relationships/hyperlink" Target="https://github.com/pytorch/pytorch/blob/c9df4276cda732c5678ea0cd38b3f16a0e9b9945/test/dynamo/test_dicts.py" TargetMode="External"/><Relationship Id="rId52" Type="http://schemas.openxmlformats.org/officeDocument/2006/relationships/hyperlink" Target="https://github.com/pytorch/pytorch/blob/c9df4276cda732c5678ea0cd38b3f16a0e9b9945/test/dynamo/test_dicts.py" TargetMode="External"/><Relationship Id="rId55" Type="http://schemas.openxmlformats.org/officeDocument/2006/relationships/hyperlink" Target="https://github.com/pytorch/pytorch/blob/c9df4276cda732c5678ea0cd38b3f16a0e9b9945/test/dynamo/test_list.py" TargetMode="External"/><Relationship Id="rId54" Type="http://schemas.openxmlformats.org/officeDocument/2006/relationships/hyperlink" Target="https://github.com/pytorch/pytorch/blob/c9df4276cda732c5678ea0cd38b3f16a0e9b9945/test/dynamo/test_dicts.py" TargetMode="External"/><Relationship Id="rId57" Type="http://schemas.openxmlformats.org/officeDocument/2006/relationships/hyperlink" Target="https://github.com/pytorch/pytorch/blob/c9df4276cda732c5678ea0cd38b3f16a0e9b9945/test/dynamo/test_sets.py" TargetMode="External"/><Relationship Id="rId56" Type="http://schemas.openxmlformats.org/officeDocument/2006/relationships/hyperlink" Target="https://github.com/pytorch/pytorch/blob/c9df4276cda732c5678ea0cd38b3f16a0e9b9945/test/dynamo/test_list.py" TargetMode="External"/><Relationship Id="rId59" Type="http://schemas.openxmlformats.org/officeDocument/2006/relationships/hyperlink" Target="https://github.com/pytorch/pytorch/blob/c9df4276cda732c5678ea0cd38b3f16a0e9b9945/test/dynamo/test_sets.py" TargetMode="External"/><Relationship Id="rId58" Type="http://schemas.openxmlformats.org/officeDocument/2006/relationships/hyperlink" Target="https://github.com/pytorch/pytorch/blob/c9df4276cda732c5678ea0cd38b3f16a0e9b9945/test/dynamo/test_sets.py" TargetMode="External"/><Relationship Id="rId107" Type="http://schemas.openxmlformats.org/officeDocument/2006/relationships/hyperlink" Target="https://github.com/pytorch/pytorch/blob/c9df4276cda732c5678ea0cd38b3f16a0e9b9945/test/dynamo/test_aot_autograd_cache.py" TargetMode="External"/><Relationship Id="rId228" Type="http://schemas.openxmlformats.org/officeDocument/2006/relationships/hyperlink" Target="https://github.com/pytorch/pytorch/blob/c9df4276cda732c5678ea0cd38b3f16a0e9b9945/test/dynamo/test_unittest.py" TargetMode="External"/><Relationship Id="rId349" Type="http://schemas.openxmlformats.org/officeDocument/2006/relationships/hyperlink" Target="https://github.com/pytorch/pytorch/blob/c9df4276cda732c5678ea0cd38b3f16a0e9b9945/test/dynamo/cpython/3_13/test_sort.py" TargetMode="External"/><Relationship Id="rId106" Type="http://schemas.openxmlformats.org/officeDocument/2006/relationships/hyperlink" Target="https://github.com/pytorch/pytorch/blob/c9df4276cda732c5678ea0cd38b3f16a0e9b9945/test/dynamo/test_aot_autograd_cache.py" TargetMode="External"/><Relationship Id="rId227" Type="http://schemas.openxmlformats.org/officeDocument/2006/relationships/hyperlink" Target="https://github.com/pytorch/pytorch/blob/c9df4276cda732c5678ea0cd38b3f16a0e9b9945/test/dynamo/test_tree_map.py" TargetMode="External"/><Relationship Id="rId348" Type="http://schemas.openxmlformats.org/officeDocument/2006/relationships/hyperlink" Target="https://github.com/pytorch/pytorch/blob/c9df4276cda732c5678ea0cd38b3f16a0e9b9945/test/dynamo/cpython/3_13/test_sort.py" TargetMode="External"/><Relationship Id="rId105" Type="http://schemas.openxmlformats.org/officeDocument/2006/relationships/hyperlink" Target="https://github.com/pytorch/pytorch/pull/185207" TargetMode="External"/><Relationship Id="rId226" Type="http://schemas.openxmlformats.org/officeDocument/2006/relationships/hyperlink" Target="https://github.com/pytorch/pytorch/blob/c9df4276cda732c5678ea0cd38b3f16a0e9b9945/test/dynamo/test_base_output.py" TargetMode="External"/><Relationship Id="rId347" Type="http://schemas.openxmlformats.org/officeDocument/2006/relationships/hyperlink" Target="https://github.com/pytorch/pytorch/blob/c9df4276cda732c5678ea0cd38b3f16a0e9b9945/test/dynamo/cpython/3_13/test_itertools.py" TargetMode="External"/><Relationship Id="rId104" Type="http://schemas.openxmlformats.org/officeDocument/2006/relationships/hyperlink" Target="mailto:tmanlaibaatar@meta.com" TargetMode="External"/><Relationship Id="rId225" Type="http://schemas.openxmlformats.org/officeDocument/2006/relationships/hyperlink" Target="https://github.com/pytorch/pytorch/blob/c9df4276cda732c5678ea0cd38b3f16a0e9b9945/test/dynamo/imports_non_circular_repro.py" TargetMode="External"/><Relationship Id="rId346" Type="http://schemas.openxmlformats.org/officeDocument/2006/relationships/hyperlink" Target="https://github.com/pytorch/pytorch/blob/c9df4276cda732c5678ea0cd38b3f16a0e9b9945/test/dynamo/cpython/3_13/test_itertools.py" TargetMode="External"/><Relationship Id="rId109" Type="http://schemas.openxmlformats.org/officeDocument/2006/relationships/hyperlink" Target="https://github.com/pytorch/pytorch/blob/c9df4276cda732c5678ea0cd38b3f16a0e9b9945/test/dynamo/test_guard_serialization.py" TargetMode="External"/><Relationship Id="rId108" Type="http://schemas.openxmlformats.org/officeDocument/2006/relationships/hyperlink" Target="https://github.com/pytorch/pytorch/blob/c9df4276cda732c5678ea0cd38b3f16a0e9b9945/test/dynamo/test_precompile_context.py" TargetMode="External"/><Relationship Id="rId229" Type="http://schemas.openxmlformats.org/officeDocument/2006/relationships/hyperlink" Target="https://github.com/pytorch/pytorch/blob/c9df4276cda732c5678ea0cd38b3f16a0e9b9945/test/dynamo/test_metrics_context.py" TargetMode="External"/><Relationship Id="rId220" Type="http://schemas.openxmlformats.org/officeDocument/2006/relationships/hyperlink" Target="https://github.com/pytorch/pytorch/blob/c9df4276cda732c5678ea0cd38b3f16a0e9b9945/test/dynamo/test_after_aot.py" TargetMode="External"/><Relationship Id="rId341" Type="http://schemas.openxmlformats.org/officeDocument/2006/relationships/hyperlink" Target="https://github.com/pytorch/pytorch/blob/c9df4276cda732c5678ea0cd38b3f16a0e9b9945/test/dynamo/cpython/3_13/test_itertools.py" TargetMode="External"/><Relationship Id="rId340" Type="http://schemas.openxmlformats.org/officeDocument/2006/relationships/hyperlink" Target="https://github.com/pytorch/pytorch/blob/c9df4276cda732c5678ea0cd38b3f16a0e9b9945/test/dynamo/cpython/3_13/test_itertools.py" TargetMode="External"/><Relationship Id="rId103" Type="http://schemas.openxmlformats.org/officeDocument/2006/relationships/hyperlink" Target="https://github.com/pytorch/pytorch/blob/c9df4276cda732c5678ea0cd38b3f16a0e9b9945/test/dynamo/test_aot_autograd_cache.py" TargetMode="External"/><Relationship Id="rId224" Type="http://schemas.openxmlformats.org/officeDocument/2006/relationships/hyperlink" Target="https://github.com/pytorch/pytorch/blob/c9df4276cda732c5678ea0cd38b3f16a0e9b9945/test/dynamo/test_python_dispatcher.py" TargetMode="External"/><Relationship Id="rId345" Type="http://schemas.openxmlformats.org/officeDocument/2006/relationships/hyperlink" Target="https://github.com/pytorch/pytorch/blob/c9df4276cda732c5678ea0cd38b3f16a0e9b9945/test/dynamo/cpython/3_13/test_itertools.py" TargetMode="External"/><Relationship Id="rId102" Type="http://schemas.openxmlformats.org/officeDocument/2006/relationships/hyperlink" Target="https://github.com/pytorch/pytorch/pull/185207" TargetMode="External"/><Relationship Id="rId223" Type="http://schemas.openxmlformats.org/officeDocument/2006/relationships/hyperlink" Target="https://github.com/pytorch/pytorch/blob/c9df4276cda732c5678ea0cd38b3f16a0e9b9945/test/dynamo/test_fwd_loss_bwd.py" TargetMode="External"/><Relationship Id="rId344" Type="http://schemas.openxmlformats.org/officeDocument/2006/relationships/hyperlink" Target="https://github.com/pytorch/pytorch/blob/c9df4276cda732c5678ea0cd38b3f16a0e9b9945/test/dynamo/cpython/3_13/test_itertools.py" TargetMode="External"/><Relationship Id="rId101" Type="http://schemas.openxmlformats.org/officeDocument/2006/relationships/hyperlink" Target="mailto:tmanlaibaatar@meta.com" TargetMode="External"/><Relationship Id="rId222" Type="http://schemas.openxmlformats.org/officeDocument/2006/relationships/hyperlink" Target="https://github.com/pytorch/pytorch/blob/c9df4276cda732c5678ea0cd38b3f16a0e9b9945/test/dynamo/test_dynamo_decompositions.py" TargetMode="External"/><Relationship Id="rId343" Type="http://schemas.openxmlformats.org/officeDocument/2006/relationships/hyperlink" Target="https://github.com/pytorch/pytorch/blob/c9df4276cda732c5678ea0cd38b3f16a0e9b9945/test/dynamo/cpython/3_13/test_itertools.py" TargetMode="External"/><Relationship Id="rId100" Type="http://schemas.openxmlformats.org/officeDocument/2006/relationships/hyperlink" Target="https://github.com/pytorch/pytorch/blob/c9df4276cda732c5678ea0cd38b3f16a0e9b9945/test/dynamo/test_aot_autograd_cache.py" TargetMode="External"/><Relationship Id="rId221" Type="http://schemas.openxmlformats.org/officeDocument/2006/relationships/hyperlink" Target="https://github.com/pytorch/pytorch/blob/c9df4276cda732c5678ea0cd38b3f16a0e9b9945/test/dynamo/test_dynamo_ops.py" TargetMode="External"/><Relationship Id="rId342" Type="http://schemas.openxmlformats.org/officeDocument/2006/relationships/hyperlink" Target="https://github.com/pytorch/pytorch/blob/c9df4276cda732c5678ea0cd38b3f16a0e9b9945/test/dynamo/cpython/3_13/test_itertools.py" TargetMode="External"/><Relationship Id="rId217" Type="http://schemas.openxmlformats.org/officeDocument/2006/relationships/hyperlink" Target="https://github.com/pytorch/pytorch/blob/c9df4276cda732c5678ea0cd38b3f16a0e9b9945/test/dynamo/test_callback.py" TargetMode="External"/><Relationship Id="rId338" Type="http://schemas.openxmlformats.org/officeDocument/2006/relationships/hyperlink" Target="https://github.com/pytorch/pytorch/blob/c9df4276cda732c5678ea0cd38b3f16a0e9b9945/test/dynamo/cpython/3_13/seq_tests.py" TargetMode="External"/><Relationship Id="rId216" Type="http://schemas.openxmlformats.org/officeDocument/2006/relationships/hyperlink" Target="https://github.com/pytorch/pytorch/pull/184739" TargetMode="External"/><Relationship Id="rId337" Type="http://schemas.openxmlformats.org/officeDocument/2006/relationships/hyperlink" Target="https://github.com/pytorch/pytorch/blob/c9df4276cda732c5678ea0cd38b3f16a0e9b9945/test/dynamo/cpython/3_13/mapping_tests.py" TargetMode="External"/><Relationship Id="rId215" Type="http://schemas.openxmlformats.org/officeDocument/2006/relationships/hyperlink" Target="https://github.com/pytorch/pytorch/blob/c9df4276cda732c5678ea0cd38b3f16a0e9b9945/test/dynamo/test_sdpa.py" TargetMode="External"/><Relationship Id="rId336" Type="http://schemas.openxmlformats.org/officeDocument/2006/relationships/hyperlink" Target="https://github.com/pytorch/pytorch/blob/c9df4276cda732c5678ea0cd38b3f16a0e9b9945/test/dynamo/cpython/3_13/mapping_tests.py" TargetMode="External"/><Relationship Id="rId214" Type="http://schemas.openxmlformats.org/officeDocument/2006/relationships/hyperlink" Target="https://github.com/pytorch/pytorch/pull/180210" TargetMode="External"/><Relationship Id="rId335" Type="http://schemas.openxmlformats.org/officeDocument/2006/relationships/hyperlink" Target="https://github.com/pytorch/pytorch/blob/c9df4276cda732c5678ea0cd38b3f16a0e9b9945/test/dynamo/cpython/3_13/mapping_tests.py" TargetMode="External"/><Relationship Id="rId219" Type="http://schemas.openxmlformats.org/officeDocument/2006/relationships/hyperlink" Target="https://github.com/pytorch/pytorch/blob/c9df4276cda732c5678ea0cd38b3f16a0e9b9945/test/dynamo/test_polyfills.py" TargetMode="External"/><Relationship Id="rId218" Type="http://schemas.openxmlformats.org/officeDocument/2006/relationships/hyperlink" Target="https://github.com/pytorch/pytorch/pull/185110" TargetMode="External"/><Relationship Id="rId339" Type="http://schemas.openxmlformats.org/officeDocument/2006/relationships/hyperlink" Target="https://github.com/pytorch/pytorch/blob/c9df4276cda732c5678ea0cd38b3f16a0e9b9945/test/dynamo/cpython/3_13/test_iter.py" TargetMode="External"/><Relationship Id="rId330" Type="http://schemas.openxmlformats.org/officeDocument/2006/relationships/hyperlink" Target="https://github.com/pytorch/pytorch/blob/c9df4276cda732c5678ea0cd38b3f16a0e9b9945/test/dynamo/cpython/3_13/test_collections.py" TargetMode="External"/><Relationship Id="rId213" Type="http://schemas.openxmlformats.org/officeDocument/2006/relationships/hyperlink" Target="https://github.com/pytorch/pytorch/blob/c9df4276cda732c5678ea0cd38b3f16a0e9b9945/test/dynamo/test_model_output.py" TargetMode="External"/><Relationship Id="rId334" Type="http://schemas.openxmlformats.org/officeDocument/2006/relationships/hyperlink" Target="https://github.com/pytorch/pytorch/blob/c9df4276cda732c5678ea0cd38b3f16a0e9b9945/test/dynamo/cpython/3_13/list_tests.py" TargetMode="External"/><Relationship Id="rId212" Type="http://schemas.openxmlformats.org/officeDocument/2006/relationships/hyperlink" Target="https://github.com/pytorch/pytorch/pull/180210" TargetMode="External"/><Relationship Id="rId333" Type="http://schemas.openxmlformats.org/officeDocument/2006/relationships/hyperlink" Target="https://github.com/pytorch/pytorch/blob/c9df4276cda732c5678ea0cd38b3f16a0e9b9945/test/dynamo/cpython/3_13/test_userlist.py" TargetMode="External"/><Relationship Id="rId211" Type="http://schemas.openxmlformats.org/officeDocument/2006/relationships/hyperlink" Target="https://github.com/pytorch/pytorch/blob/c9df4276cda732c5678ea0cd38b3f16a0e9b9945/test/dynamo/test_model_output.py" TargetMode="External"/><Relationship Id="rId332" Type="http://schemas.openxmlformats.org/officeDocument/2006/relationships/hyperlink" Target="https://github.com/pytorch/pytorch/blob/c9df4276cda732c5678ea0cd38b3f16a0e9b9945/test/dynamo/cpython/3_13/test_userdict.py" TargetMode="External"/><Relationship Id="rId210" Type="http://schemas.openxmlformats.org/officeDocument/2006/relationships/hyperlink" Target="https://github.com/pytorch/pytorch/pull/180210" TargetMode="External"/><Relationship Id="rId331" Type="http://schemas.openxmlformats.org/officeDocument/2006/relationships/hyperlink" Target="https://github.com/pytorch/pytorch/blob/c9df4276cda732c5678ea0cd38b3f16a0e9b9945/test/dynamo/cpython/3_13/test_collections.py" TargetMode="External"/><Relationship Id="rId370" Type="http://schemas.openxmlformats.org/officeDocument/2006/relationships/hyperlink" Target="https://github.com/pytorch/pytorch/blob/c9df4276cda732c5678ea0cd38b3f16a0e9b9945/test/dynamo/cpython/3_13/test_raise.py" TargetMode="External"/><Relationship Id="rId129" Type="http://schemas.openxmlformats.org/officeDocument/2006/relationships/hyperlink" Target="https://github.com/pytorch/pytorch/blob/c9df4276cda732c5678ea0cd38b3f16a0e9b9945/test/dynamo/test_base_hop.py" TargetMode="External"/><Relationship Id="rId128" Type="http://schemas.openxmlformats.org/officeDocument/2006/relationships/hyperlink" Target="https://github.com/pytorch/pytorch/blob/c9df4276cda732c5678ea0cd38b3f16a0e9b9945/test/dynamo/test_backward_higher_order_ops.py" TargetMode="External"/><Relationship Id="rId249" Type="http://schemas.openxmlformats.org/officeDocument/2006/relationships/hyperlink" Target="https://github.com/pytorch/pytorch/blob/c9df4276cda732c5678ea0cd38b3f16a0e9b9945/test/dynamo/cpython/3_13/test_numeric_tower.py" TargetMode="External"/><Relationship Id="rId127" Type="http://schemas.openxmlformats.org/officeDocument/2006/relationships/hyperlink" Target="https://github.com/pytorch/pytorch/pull/179223" TargetMode="External"/><Relationship Id="rId248" Type="http://schemas.openxmlformats.org/officeDocument/2006/relationships/hyperlink" Target="https://github.com/pytorch/pytorch/blob/c9df4276cda732c5678ea0cd38b3f16a0e9b9945/test/dynamo/cpython/3_13/test_numeric_tower.py" TargetMode="External"/><Relationship Id="rId369" Type="http://schemas.openxmlformats.org/officeDocument/2006/relationships/hyperlink" Target="https://github.com/pytorch/pytorch/blob/c9df4276cda732c5678ea0cd38b3f16a0e9b9945/test/dynamo/cpython/3_13/test_raise.py" TargetMode="External"/><Relationship Id="rId126" Type="http://schemas.openxmlformats.org/officeDocument/2006/relationships/hyperlink" Target="https://github.com/pytorch/pytorch/blob/c9df4276cda732c5678ea0cd38b3f16a0e9b9945/test/dynamo/test_higher_order_ops.py" TargetMode="External"/><Relationship Id="rId247" Type="http://schemas.openxmlformats.org/officeDocument/2006/relationships/hyperlink" Target="https://github.com/pytorch/pytorch/blob/c9df4276cda732c5678ea0cd38b3f16a0e9b9945/test/dynamo/cpython/3_13/test_complex.py" TargetMode="External"/><Relationship Id="rId368" Type="http://schemas.openxmlformats.org/officeDocument/2006/relationships/hyperlink" Target="https://github.com/pytorch/pytorch/blob/c9df4276cda732c5678ea0cd38b3f16a0e9b9945/test/dynamo/cpython/3_13/test_raise.py" TargetMode="External"/><Relationship Id="rId121" Type="http://schemas.openxmlformats.org/officeDocument/2006/relationships/hyperlink" Target="https://github.com/pytorch/pytorch/blob/c9df4276cda732c5678ea0cd38b3f16a0e9b9945/test/dynamo/test_higher_order_ops.py" TargetMode="External"/><Relationship Id="rId242" Type="http://schemas.openxmlformats.org/officeDocument/2006/relationships/hyperlink" Target="https://github.com/pytorch/pytorch/blob/c9df4276cda732c5678ea0cd38b3f16a0e9b9945/test/dynamo/cpython/3_13/test_float.py" TargetMode="External"/><Relationship Id="rId363" Type="http://schemas.openxmlformats.org/officeDocument/2006/relationships/hyperlink" Target="https://github.com/pytorch/pytorch/blob/c9df4276cda732c5678ea0cd38b3f16a0e9b9945/test/dynamo/cpython/3_13/test_exceptions.py" TargetMode="External"/><Relationship Id="rId120" Type="http://schemas.openxmlformats.org/officeDocument/2006/relationships/hyperlink" Target="https://github.com/pytorch/pytorch/pull/179223" TargetMode="External"/><Relationship Id="rId241" Type="http://schemas.openxmlformats.org/officeDocument/2006/relationships/hyperlink" Target="https://github.com/pytorch/pytorch/blob/c9df4276cda732c5678ea0cd38b3f16a0e9b9945/test/dynamo/cpython/3_13/test_float.py" TargetMode="External"/><Relationship Id="rId362" Type="http://schemas.openxmlformats.org/officeDocument/2006/relationships/hyperlink" Target="https://github.com/pytorch/pytorch/blob/c9df4276cda732c5678ea0cd38b3f16a0e9b9945/test/dynamo/cpython/3_13/test_exceptions.py" TargetMode="External"/><Relationship Id="rId240" Type="http://schemas.openxmlformats.org/officeDocument/2006/relationships/hyperlink" Target="https://github.com/pytorch/pytorch/blob/c9df4276cda732c5678ea0cd38b3f16a0e9b9945/test/dynamo/cpython/3_13/test_float.py" TargetMode="External"/><Relationship Id="rId361" Type="http://schemas.openxmlformats.org/officeDocument/2006/relationships/hyperlink" Target="https://github.com/pytorch/pytorch/blob/c9df4276cda732c5678ea0cd38b3f16a0e9b9945/test/dynamo/cpython/3_13/test_exceptions.py" TargetMode="External"/><Relationship Id="rId360" Type="http://schemas.openxmlformats.org/officeDocument/2006/relationships/hyperlink" Target="https://github.com/pytorch/pytorch/blob/c9df4276cda732c5678ea0cd38b3f16a0e9b9945/test/dynamo/cpython/3_13/test_exceptions.py" TargetMode="External"/><Relationship Id="rId125" Type="http://schemas.openxmlformats.org/officeDocument/2006/relationships/hyperlink" Target="https://github.com/pytorch/pytorch/pull/179223" TargetMode="External"/><Relationship Id="rId246" Type="http://schemas.openxmlformats.org/officeDocument/2006/relationships/hyperlink" Target="https://github.com/pytorch/pytorch/blob/c9df4276cda732c5678ea0cd38b3f16a0e9b9945/test/dynamo/cpython/3_13/test_float.py" TargetMode="External"/><Relationship Id="rId367" Type="http://schemas.openxmlformats.org/officeDocument/2006/relationships/hyperlink" Target="https://github.com/pytorch/pytorch/blob/c9df4276cda732c5678ea0cd38b3f16a0e9b9945/test/dynamo/cpython/3_13/test_exception_variations.py" TargetMode="External"/><Relationship Id="rId124" Type="http://schemas.openxmlformats.org/officeDocument/2006/relationships/hyperlink" Target="mailto:yidi@meta.com" TargetMode="External"/><Relationship Id="rId245" Type="http://schemas.openxmlformats.org/officeDocument/2006/relationships/hyperlink" Target="https://github.com/pytorch/pytorch/blob/c9df4276cda732c5678ea0cd38b3f16a0e9b9945/test/dynamo/cpython/3_13/test_float.py" TargetMode="External"/><Relationship Id="rId366" Type="http://schemas.openxmlformats.org/officeDocument/2006/relationships/hyperlink" Target="https://github.com/pytorch/pytorch/blob/c9df4276cda732c5678ea0cd38b3f16a0e9b9945/test/dynamo/cpython/3_13/test_baseexception.py" TargetMode="External"/><Relationship Id="rId123" Type="http://schemas.openxmlformats.org/officeDocument/2006/relationships/hyperlink" Target="https://github.com/pytorch/pytorch/blob/c9df4276cda732c5678ea0cd38b3f16a0e9b9945/test/dynamo/test_higher_order_ops.py" TargetMode="External"/><Relationship Id="rId244" Type="http://schemas.openxmlformats.org/officeDocument/2006/relationships/hyperlink" Target="https://github.com/pytorch/pytorch/blob/c9df4276cda732c5678ea0cd38b3f16a0e9b9945/test/dynamo/cpython/3_13/test_float.py" TargetMode="External"/><Relationship Id="rId365" Type="http://schemas.openxmlformats.org/officeDocument/2006/relationships/hyperlink" Target="https://github.com/pytorch/pytorch/blob/c9df4276cda732c5678ea0cd38b3f16a0e9b9945/test/dynamo/cpython/3_13/test_baseexception.py" TargetMode="External"/><Relationship Id="rId122" Type="http://schemas.openxmlformats.org/officeDocument/2006/relationships/hyperlink" Target="https://github.com/pytorch/pytorch/blob/c9df4276cda732c5678ea0cd38b3f16a0e9b9945/test/dynamo/test_higher_order_ops.py" TargetMode="External"/><Relationship Id="rId243" Type="http://schemas.openxmlformats.org/officeDocument/2006/relationships/hyperlink" Target="https://github.com/pytorch/pytorch/blob/c9df4276cda732c5678ea0cd38b3f16a0e9b9945/test/dynamo/cpython/3_13/test_float.py" TargetMode="External"/><Relationship Id="rId364" Type="http://schemas.openxmlformats.org/officeDocument/2006/relationships/hyperlink" Target="https://github.com/pytorch/pytorch/blob/c9df4276cda732c5678ea0cd38b3f16a0e9b9945/test/dynamo/cpython/3_13/test_exceptions.py" TargetMode="External"/><Relationship Id="rId95" Type="http://schemas.openxmlformats.org/officeDocument/2006/relationships/hyperlink" Target="https://github.com/pytorch/pytorch/blob/c9df4276cda732c5678ea0cd38b3f16a0e9b9945/test/dynamo/test_aot_autograd.py" TargetMode="External"/><Relationship Id="rId94" Type="http://schemas.openxmlformats.org/officeDocument/2006/relationships/hyperlink" Target="https://github.com/pytorch/pytorch/blob/c9df4276cda732c5678ea0cd38b3f16a0e9b9945/test/dynamo/test_pre_dispatch.py" TargetMode="External"/><Relationship Id="rId97" Type="http://schemas.openxmlformats.org/officeDocument/2006/relationships/hyperlink" Target="mailto:zhxchen17@meta.com" TargetMode="External"/><Relationship Id="rId96" Type="http://schemas.openxmlformats.org/officeDocument/2006/relationships/hyperlink" Target="https://github.com/pytorch/pytorch/blob/c9df4276cda732c5678ea0cd38b3f16a0e9b9945/test/dynamo/test_aot_compile.py" TargetMode="External"/><Relationship Id="rId99" Type="http://schemas.openxmlformats.org/officeDocument/2006/relationships/hyperlink" Target="mailto:zhxchen17@meta.com" TargetMode="External"/><Relationship Id="rId98" Type="http://schemas.openxmlformats.org/officeDocument/2006/relationships/hyperlink" Target="https://github.com/pytorch/pytorch/blob/c9df4276cda732c5678ea0cd38b3f16a0e9b9945/test/dynamo/test_aot_compile.py" TargetMode="External"/><Relationship Id="rId91" Type="http://schemas.openxmlformats.org/officeDocument/2006/relationships/hyperlink" Target="https://github.com/pytorch/pytorch/blob/c9df4276cda732c5678ea0cd38b3f16a0e9b9945/test/dynamo/test_export.py" TargetMode="External"/><Relationship Id="rId90" Type="http://schemas.openxmlformats.org/officeDocument/2006/relationships/hyperlink" Target="https://github.com/pytorch/pytorch/blob/c9df4276cda732c5678ea0cd38b3f16a0e9b9945/test/dynamo/test_export.py" TargetMode="External"/><Relationship Id="rId93" Type="http://schemas.openxmlformats.org/officeDocument/2006/relationships/hyperlink" Target="https://github.com/pytorch/pytorch/blob/c9df4276cda732c5678ea0cd38b3f16a0e9b9945/test/dynamo/test_export_mutations.py" TargetMode="External"/><Relationship Id="rId92" Type="http://schemas.openxmlformats.org/officeDocument/2006/relationships/hyperlink" Target="https://github.com/pytorch/pytorch/pull/178058/" TargetMode="External"/><Relationship Id="rId118" Type="http://schemas.openxmlformats.org/officeDocument/2006/relationships/hyperlink" Target="https://github.com/pytorch/pytorch/blob/c9df4276cda732c5678ea0cd38b3f16a0e9b9945/test/dynamo/test_python_autograd.py" TargetMode="External"/><Relationship Id="rId239" Type="http://schemas.openxmlformats.org/officeDocument/2006/relationships/hyperlink" Target="https://github.com/pytorch/pytorch/blob/c9df4276cda732c5678ea0cd38b3f16a0e9b9945/test/dynamo/cpython/3_13/test_float.py" TargetMode="External"/><Relationship Id="rId117" Type="http://schemas.openxmlformats.org/officeDocument/2006/relationships/hyperlink" Target="https://github.com/pytorch/pytorch/blob/c9df4276cda732c5678ea0cd38b3f16a0e9b9945/test/dynamo/test_autograd_function.py" TargetMode="External"/><Relationship Id="rId238" Type="http://schemas.openxmlformats.org/officeDocument/2006/relationships/hyperlink" Target="https://github.com/pytorch/pytorch/blob/c9df4276cda732c5678ea0cd38b3f16a0e9b9945/test/dynamo/cpython/3_13/test_int_literal.py" TargetMode="External"/><Relationship Id="rId359" Type="http://schemas.openxmlformats.org/officeDocument/2006/relationships/hyperlink" Target="https://github.com/pytorch/pytorch/blob/c9df4276cda732c5678ea0cd38b3f16a0e9b9945/test/dynamo/cpython/3_13/test_exceptions.py" TargetMode="External"/><Relationship Id="rId116" Type="http://schemas.openxmlformats.org/officeDocument/2006/relationships/hyperlink" Target="https://github.com/pytorch/pytorch/blob/c9df4276cda732c5678ea0cd38b3f16a0e9b9945/test/dynamo/test_autograd_function.py" TargetMode="External"/><Relationship Id="rId237" Type="http://schemas.openxmlformats.org/officeDocument/2006/relationships/hyperlink" Target="https://github.com/pytorch/pytorch/blob/c9df4276cda732c5678ea0cd38b3f16a0e9b9945/test/dynamo/cpython/3_13/test_int.py" TargetMode="External"/><Relationship Id="rId358" Type="http://schemas.openxmlformats.org/officeDocument/2006/relationships/hyperlink" Target="https://github.com/pytorch/pytorch/blob/c9df4276cda732c5678ea0cd38b3f16a0e9b9945/test/dynamo/cpython/3_13/test_exceptions.py" TargetMode="External"/><Relationship Id="rId115" Type="http://schemas.openxmlformats.org/officeDocument/2006/relationships/hyperlink" Target="https://github.com/pytorch/pytorch/blob/c9df4276cda732c5678ea0cd38b3f16a0e9b9945/test/dynamo/test_package.py" TargetMode="External"/><Relationship Id="rId236" Type="http://schemas.openxmlformats.org/officeDocument/2006/relationships/hyperlink" Target="https://github.com/pytorch/pytorch/blob/c9df4276cda732c5678ea0cd38b3f16a0e9b9945/test/dynamo/cpython/3_13/test_int.py" TargetMode="External"/><Relationship Id="rId357" Type="http://schemas.openxmlformats.org/officeDocument/2006/relationships/hyperlink" Target="https://github.com/pytorch/pytorch/blob/c9df4276cda732c5678ea0cd38b3f16a0e9b9945/test/dynamo/cpython/3_13/test_exceptions.py" TargetMode="External"/><Relationship Id="rId119" Type="http://schemas.openxmlformats.org/officeDocument/2006/relationships/hyperlink" Target="https://github.com/pytorch/pytorch/blob/c9df4276cda732c5678ea0cd38b3f16a0e9b9945/test/dynamo/test_higher_order_ops.py" TargetMode="External"/><Relationship Id="rId110" Type="http://schemas.openxmlformats.org/officeDocument/2006/relationships/hyperlink" Target="https://github.com/pytorch/pytorch/blob/c9df4276cda732c5678ea0cd38b3f16a0e9b9945/test/dynamo/test_pgo.py" TargetMode="External"/><Relationship Id="rId231" Type="http://schemas.openxmlformats.org/officeDocument/2006/relationships/hyperlink" Target="https://github.com/pytorch/pytorch/blob/c9df4276cda732c5678ea0cd38b3f16a0e9b9945/test/dynamo/test_utils.py" TargetMode="External"/><Relationship Id="rId352" Type="http://schemas.openxmlformats.org/officeDocument/2006/relationships/hyperlink" Target="https://github.com/pytorch/pytorch/blob/c9df4276cda732c5678ea0cd38b3f16a0e9b9945/test/dynamo/cpython/3_13/test_heapq.py" TargetMode="External"/><Relationship Id="rId230" Type="http://schemas.openxmlformats.org/officeDocument/2006/relationships/hyperlink" Target="https://github.com/pytorch/pytorch/blob/c9df4276cda732c5678ea0cd38b3f16a0e9b9945/test/dynamo/test_utils.py" TargetMode="External"/><Relationship Id="rId351" Type="http://schemas.openxmlformats.org/officeDocument/2006/relationships/hyperlink" Target="https://github.com/pytorch/pytorch/blob/c9df4276cda732c5678ea0cd38b3f16a0e9b9945/test/dynamo/cpython/3_13/test_sort.py" TargetMode="External"/><Relationship Id="rId350" Type="http://schemas.openxmlformats.org/officeDocument/2006/relationships/hyperlink" Target="https://github.com/pytorch/pytorch/blob/c9df4276cda732c5678ea0cd38b3f16a0e9b9945/test/dynamo/cpython/3_13/test_sort.py" TargetMode="External"/><Relationship Id="rId114" Type="http://schemas.openxmlformats.org/officeDocument/2006/relationships/hyperlink" Target="https://github.com/pytorch/pytorch/blob/c9df4276cda732c5678ea0cd38b3f16a0e9b9945/test/dynamo/test_config.py" TargetMode="External"/><Relationship Id="rId235" Type="http://schemas.openxmlformats.org/officeDocument/2006/relationships/hyperlink" Target="https://github.com/pytorch/pytorch/blob/c9df4276cda732c5678ea0cd38b3f16a0e9b9945/test/dynamo/cpython/3_13/test_int.py" TargetMode="External"/><Relationship Id="rId356" Type="http://schemas.openxmlformats.org/officeDocument/2006/relationships/hyperlink" Target="https://github.com/pytorch/pytorch/blob/c9df4276cda732c5678ea0cd38b3f16a0e9b9945/test/dynamo/cpython/3_13/test_heapq.py" TargetMode="External"/><Relationship Id="rId113" Type="http://schemas.openxmlformats.org/officeDocument/2006/relationships/hyperlink" Target="https://github.com/pytorch/pytorch/blob/c9df4276cda732c5678ea0cd38b3f16a0e9b9945/test/dynamo/test_comptime.py" TargetMode="External"/><Relationship Id="rId234" Type="http://schemas.openxmlformats.org/officeDocument/2006/relationships/hyperlink" Target="https://github.com/pytorch/pytorch/blob/c9df4276cda732c5678ea0cd38b3f16a0e9b9945/test/dynamo/cpython/3_13/test_int.py" TargetMode="External"/><Relationship Id="rId355" Type="http://schemas.openxmlformats.org/officeDocument/2006/relationships/hyperlink" Target="https://github.com/pytorch/pytorch/blob/c9df4276cda732c5678ea0cd38b3f16a0e9b9945/test/dynamo/cpython/3_13/test_heapq.py" TargetMode="External"/><Relationship Id="rId112" Type="http://schemas.openxmlformats.org/officeDocument/2006/relationships/hyperlink" Target="https://github.com/pytorch/pytorch/blob/c9df4276cda732c5678ea0cd38b3f16a0e9b9945/test/dynamo/test_compile.py" TargetMode="External"/><Relationship Id="rId233" Type="http://schemas.openxmlformats.org/officeDocument/2006/relationships/hyperlink" Target="https://github.com/pytorch/pytorch/blob/c9df4276cda732c5678ea0cd38b3f16a0e9b9945/test/dynamo/cpython/3_13/test_bool.py" TargetMode="External"/><Relationship Id="rId354" Type="http://schemas.openxmlformats.org/officeDocument/2006/relationships/hyperlink" Target="https://github.com/pytorch/pytorch/blob/c9df4276cda732c5678ea0cd38b3f16a0e9b9945/test/dynamo/cpython/3_13/test_heapq.py" TargetMode="External"/><Relationship Id="rId111" Type="http://schemas.openxmlformats.org/officeDocument/2006/relationships/hyperlink" Target="https://github.com/pytorch/pytorch/blob/c9df4276cda732c5678ea0cd38b3f16a0e9b9945/test/dynamo/test_compile.py" TargetMode="External"/><Relationship Id="rId232" Type="http://schemas.openxmlformats.org/officeDocument/2006/relationships/hyperlink" Target="https://github.com/pytorch/pytorch/blob/c9df4276cda732c5678ea0cd38b3f16a0e9b9945/test/dynamo/test_utils.py" TargetMode="External"/><Relationship Id="rId353" Type="http://schemas.openxmlformats.org/officeDocument/2006/relationships/hyperlink" Target="https://github.com/pytorch/pytorch/blob/c9df4276cda732c5678ea0cd38b3f16a0e9b9945/test/dynamo/cpython/3_13/test_heapq.py" TargetMode="External"/><Relationship Id="rId305" Type="http://schemas.openxmlformats.org/officeDocument/2006/relationships/hyperlink" Target="https://github.com/pytorch/pytorch/blob/c9df4276cda732c5678ea0cd38b3f16a0e9b9945/test/dynamo/cpython/3_13/test_set.py" TargetMode="External"/><Relationship Id="rId304" Type="http://schemas.openxmlformats.org/officeDocument/2006/relationships/hyperlink" Target="https://github.com/pytorch/pytorch/blob/c9df4276cda732c5678ea0cd38b3f16a0e9b9945/test/dynamo/cpython/3_13/test_set.py" TargetMode="External"/><Relationship Id="rId425" Type="http://schemas.openxmlformats.org/officeDocument/2006/relationships/drawing" Target="../drawings/drawing5.xml"/><Relationship Id="rId303" Type="http://schemas.openxmlformats.org/officeDocument/2006/relationships/hyperlink" Target="https://github.com/pytorch/pytorch/blob/c9df4276cda732c5678ea0cd38b3f16a0e9b9945/test/dynamo/cpython/3_13/test_set.py" TargetMode="External"/><Relationship Id="rId424" Type="http://schemas.openxmlformats.org/officeDocument/2006/relationships/hyperlink" Target="https://github.com/pytorch/pytorch/blob/c9df4276cda732c5678ea0cd38b3f16a0e9b9945/test/dynamo/cpython/3_13/test_unittest/test_assertions.py" TargetMode="External"/><Relationship Id="rId302" Type="http://schemas.openxmlformats.org/officeDocument/2006/relationships/hyperlink" Target="https://github.com/pytorch/pytorch/blob/c9df4276cda732c5678ea0cd38b3f16a0e9b9945/test/dynamo/cpython/3_13/test_set.py" TargetMode="External"/><Relationship Id="rId423" Type="http://schemas.openxmlformats.org/officeDocument/2006/relationships/hyperlink" Target="https://github.com/pytorch/pytorch/blob/c9df4276cda732c5678ea0cd38b3f16a0e9b9945/test/dynamo/cpython/3_13/test_unittest/test_assertions.py" TargetMode="External"/><Relationship Id="rId309" Type="http://schemas.openxmlformats.org/officeDocument/2006/relationships/hyperlink" Target="https://github.com/pytorch/pytorch/blob/c9df4276cda732c5678ea0cd38b3f16a0e9b9945/test/dynamo/cpython/3_13/test_set.py" TargetMode="External"/><Relationship Id="rId308" Type="http://schemas.openxmlformats.org/officeDocument/2006/relationships/hyperlink" Target="https://github.com/pytorch/pytorch/blob/c9df4276cda732c5678ea0cd38b3f16a0e9b9945/test/dynamo/cpython/3_13/test_set.py" TargetMode="External"/><Relationship Id="rId307" Type="http://schemas.openxmlformats.org/officeDocument/2006/relationships/hyperlink" Target="https://github.com/pytorch/pytorch/blob/c9df4276cda732c5678ea0cd38b3f16a0e9b9945/test/dynamo/cpython/3_13/test_set.py" TargetMode="External"/><Relationship Id="rId306" Type="http://schemas.openxmlformats.org/officeDocument/2006/relationships/hyperlink" Target="https://github.com/pytorch/pytorch/blob/c9df4276cda732c5678ea0cd38b3f16a0e9b9945/test/dynamo/cpython/3_13/test_set.py" TargetMode="External"/><Relationship Id="rId301" Type="http://schemas.openxmlformats.org/officeDocument/2006/relationships/hyperlink" Target="https://github.com/pytorch/pytorch/blob/c9df4276cda732c5678ea0cd38b3f16a0e9b9945/test/dynamo/cpython/3_13/test_set.py" TargetMode="External"/><Relationship Id="rId422" Type="http://schemas.openxmlformats.org/officeDocument/2006/relationships/hyperlink" Target="https://github.com/pytorch/pytorch/blob/c9df4276cda732c5678ea0cd38b3f16a0e9b9945/test/dynamo/cpython/3_13/test_sys.py" TargetMode="External"/><Relationship Id="rId300" Type="http://schemas.openxmlformats.org/officeDocument/2006/relationships/hyperlink" Target="https://github.com/pytorch/pytorch/blob/c9df4276cda732c5678ea0cd38b3f16a0e9b9945/test/dynamo/cpython/3_13/test_set.py" TargetMode="External"/><Relationship Id="rId421" Type="http://schemas.openxmlformats.org/officeDocument/2006/relationships/hyperlink" Target="https://github.com/pytorch/pytorch/blob/c9df4276cda732c5678ea0cd38b3f16a0e9b9945/test/dynamo/cpython/3_13/test_sys.py" TargetMode="External"/><Relationship Id="rId420" Type="http://schemas.openxmlformats.org/officeDocument/2006/relationships/hyperlink" Target="https://github.com/pytorch/pytorch/blob/c9df4276cda732c5678ea0cd38b3f16a0e9b9945/test/dynamo/cpython/3_13/test_sys.py" TargetMode="External"/><Relationship Id="rId415" Type="http://schemas.openxmlformats.org/officeDocument/2006/relationships/hyperlink" Target="https://github.com/pytorch/pytorch/blob/c9df4276cda732c5678ea0cd38b3f16a0e9b9945/test/dynamo/cpython/3_13/test_operator.py" TargetMode="External"/><Relationship Id="rId414" Type="http://schemas.openxmlformats.org/officeDocument/2006/relationships/hyperlink" Target="https://github.com/pytorch/pytorch/blob/c9df4276cda732c5678ea0cd38b3f16a0e9b9945/test/dynamo/cpython/3_13/test_operator.py" TargetMode="External"/><Relationship Id="rId413" Type="http://schemas.openxmlformats.org/officeDocument/2006/relationships/hyperlink" Target="https://github.com/pytorch/pytorch/blob/c9df4276cda732c5678ea0cd38b3f16a0e9b9945/test/dynamo/cpython/3_13/test_operator.py" TargetMode="External"/><Relationship Id="rId412" Type="http://schemas.openxmlformats.org/officeDocument/2006/relationships/hyperlink" Target="https://github.com/pytorch/pytorch/blob/c9df4276cda732c5678ea0cd38b3f16a0e9b9945/test/dynamo/cpython/3_13/test_operator.py" TargetMode="External"/><Relationship Id="rId419" Type="http://schemas.openxmlformats.org/officeDocument/2006/relationships/hyperlink" Target="https://github.com/pytorch/pytorch/blob/c9df4276cda732c5678ea0cd38b3f16a0e9b9945/test/dynamo/cpython/3_13/test_sys.py" TargetMode="External"/><Relationship Id="rId418" Type="http://schemas.openxmlformats.org/officeDocument/2006/relationships/hyperlink" Target="https://github.com/pytorch/pytorch/blob/c9df4276cda732c5678ea0cd38b3f16a0e9b9945/test/dynamo/cpython/3_13/test_sys.py" TargetMode="External"/><Relationship Id="rId417" Type="http://schemas.openxmlformats.org/officeDocument/2006/relationships/hyperlink" Target="https://github.com/pytorch/pytorch/blob/c9df4276cda732c5678ea0cd38b3f16a0e9b9945/test/dynamo/cpython/3_13/test_sys.py" TargetMode="External"/><Relationship Id="rId416" Type="http://schemas.openxmlformats.org/officeDocument/2006/relationships/hyperlink" Target="https://github.com/pytorch/pytorch/blob/c9df4276cda732c5678ea0cd38b3f16a0e9b9945/test/dynamo/cpython/3_13/test_operator.py" TargetMode="External"/><Relationship Id="rId411" Type="http://schemas.openxmlformats.org/officeDocument/2006/relationships/hyperlink" Target="https://github.com/pytorch/pytorch/blob/c9df4276cda732c5678ea0cd38b3f16a0e9b9945/test/dynamo/cpython/3_13/test_operator.py" TargetMode="External"/><Relationship Id="rId410" Type="http://schemas.openxmlformats.org/officeDocument/2006/relationships/hyperlink" Target="https://github.com/pytorch/pytorch/blob/c9df4276cda732c5678ea0cd38b3f16a0e9b9945/test/dynamo/cpython/3_13/test_patma.py" TargetMode="External"/><Relationship Id="rId206" Type="http://schemas.openxmlformats.org/officeDocument/2006/relationships/hyperlink" Target="https://github.com/pytorch/pytorch/pull/181887" TargetMode="External"/><Relationship Id="rId327" Type="http://schemas.openxmlformats.org/officeDocument/2006/relationships/hyperlink" Target="https://github.com/pytorch/pytorch/blob/c9df4276cda732c5678ea0cd38b3f16a0e9b9945/test/dynamo/cpython/3_13/test_collections.py" TargetMode="External"/><Relationship Id="rId205" Type="http://schemas.openxmlformats.org/officeDocument/2006/relationships/hyperlink" Target="https://github.com/pytorch/pytorch/blob/c9df4276cda732c5678ea0cd38b3f16a0e9b9945/test/dynamo/test_repros.py" TargetMode="External"/><Relationship Id="rId326" Type="http://schemas.openxmlformats.org/officeDocument/2006/relationships/hyperlink" Target="https://github.com/pytorch/pytorch/blob/c9df4276cda732c5678ea0cd38b3f16a0e9b9945/test/dynamo/cpython/3_13/test_collections.py" TargetMode="External"/><Relationship Id="rId204" Type="http://schemas.openxmlformats.org/officeDocument/2006/relationships/hyperlink" Target="https://github.com/pytorch/pytorch/pull/181887" TargetMode="External"/><Relationship Id="rId325" Type="http://schemas.openxmlformats.org/officeDocument/2006/relationships/hyperlink" Target="https://github.com/pytorch/pytorch/blob/c9df4276cda732c5678ea0cd38b3f16a0e9b9945/test/dynamo/cpython/3_13/test_collections.py" TargetMode="External"/><Relationship Id="rId203" Type="http://schemas.openxmlformats.org/officeDocument/2006/relationships/hyperlink" Target="https://github.com/pytorch/pytorch/blob/c9df4276cda732c5678ea0cd38b3f16a0e9b9945/test/dynamo/test_repros.py" TargetMode="External"/><Relationship Id="rId324" Type="http://schemas.openxmlformats.org/officeDocument/2006/relationships/hyperlink" Target="https://github.com/pytorch/pytorch/blob/c9df4276cda732c5678ea0cd38b3f16a0e9b9945/test/dynamo/cpython/3_13/test_defaultdict.py" TargetMode="External"/><Relationship Id="rId209" Type="http://schemas.openxmlformats.org/officeDocument/2006/relationships/hyperlink" Target="https://github.com/pytorch/pytorch/blob/c9df4276cda732c5678ea0cd38b3f16a0e9b9945/test/dynamo/test_model_output.py" TargetMode="External"/><Relationship Id="rId208" Type="http://schemas.openxmlformats.org/officeDocument/2006/relationships/hyperlink" Target="https://github.com/pytorch/pytorch/pull/181887" TargetMode="External"/><Relationship Id="rId329" Type="http://schemas.openxmlformats.org/officeDocument/2006/relationships/hyperlink" Target="https://github.com/pytorch/pytorch/blob/c9df4276cda732c5678ea0cd38b3f16a0e9b9945/test/dynamo/cpython/3_13/test_collections.py" TargetMode="External"/><Relationship Id="rId207" Type="http://schemas.openxmlformats.org/officeDocument/2006/relationships/hyperlink" Target="https://github.com/pytorch/pytorch/blob/c9df4276cda732c5678ea0cd38b3f16a0e9b9945/test/dynamo/test_repros.py" TargetMode="External"/><Relationship Id="rId328" Type="http://schemas.openxmlformats.org/officeDocument/2006/relationships/hyperlink" Target="https://github.com/pytorch/pytorch/blob/c9df4276cda732c5678ea0cd38b3f16a0e9b9945/test/dynamo/cpython/3_13/test_collections.py" TargetMode="External"/><Relationship Id="rId202" Type="http://schemas.openxmlformats.org/officeDocument/2006/relationships/hyperlink" Target="https://github.com/pytorch/pytorch/pull/179150" TargetMode="External"/><Relationship Id="rId323" Type="http://schemas.openxmlformats.org/officeDocument/2006/relationships/hyperlink" Target="https://github.com/pytorch/pytorch/blob/c9df4276cda732c5678ea0cd38b3f16a0e9b9945/test/dynamo/cpython/3_13/test_ordered_dict.py" TargetMode="External"/><Relationship Id="rId201" Type="http://schemas.openxmlformats.org/officeDocument/2006/relationships/hyperlink" Target="https://github.com/pytorch/pytorch/blob/c9df4276cda732c5678ea0cd38b3f16a0e9b9945/test/dynamo/test_debug_utils.py" TargetMode="External"/><Relationship Id="rId322" Type="http://schemas.openxmlformats.org/officeDocument/2006/relationships/hyperlink" Target="https://github.com/pytorch/pytorch/blob/c9df4276cda732c5678ea0cd38b3f16a0e9b9945/test/dynamo/cpython/3_13/test_ordered_dict.py" TargetMode="External"/><Relationship Id="rId200" Type="http://schemas.openxmlformats.org/officeDocument/2006/relationships/hyperlink" Target="https://github.com/pytorch/pytorch/pull/179150" TargetMode="External"/><Relationship Id="rId321" Type="http://schemas.openxmlformats.org/officeDocument/2006/relationships/hyperlink" Target="https://github.com/pytorch/pytorch/blob/c9df4276cda732c5678ea0cd38b3f16a0e9b9945/test/dynamo/cpython/3_13/test_ordered_dict.py" TargetMode="External"/><Relationship Id="rId320" Type="http://schemas.openxmlformats.org/officeDocument/2006/relationships/hyperlink" Target="https://github.com/pytorch/pytorch/blob/c9df4276cda732c5678ea0cd38b3f16a0e9b9945/test/dynamo/cpython/3_13/test_ordered_dict.py" TargetMode="External"/><Relationship Id="rId316" Type="http://schemas.openxmlformats.org/officeDocument/2006/relationships/hyperlink" Target="https://github.com/pytorch/pytorch/blob/c9df4276cda732c5678ea0cd38b3f16a0e9b9945/test/dynamo/cpython/3_13/test_ordered_dict.py" TargetMode="External"/><Relationship Id="rId315" Type="http://schemas.openxmlformats.org/officeDocument/2006/relationships/hyperlink" Target="https://github.com/pytorch/pytorch/blob/c9df4276cda732c5678ea0cd38b3f16a0e9b9945/test/dynamo/cpython/3_13/test_ordered_dict.py" TargetMode="External"/><Relationship Id="rId314" Type="http://schemas.openxmlformats.org/officeDocument/2006/relationships/hyperlink" Target="https://github.com/pytorch/pytorch/blob/c9df4276cda732c5678ea0cd38b3f16a0e9b9945/test/dynamo/cpython/3_13/test_ordered_dict.py" TargetMode="External"/><Relationship Id="rId313" Type="http://schemas.openxmlformats.org/officeDocument/2006/relationships/hyperlink" Target="https://github.com/pytorch/pytorch/blob/c9df4276cda732c5678ea0cd38b3f16a0e9b9945/test/dynamo/cpython/3_13/test_ordered_dict.py" TargetMode="External"/><Relationship Id="rId319" Type="http://schemas.openxmlformats.org/officeDocument/2006/relationships/hyperlink" Target="https://github.com/pytorch/pytorch/blob/c9df4276cda732c5678ea0cd38b3f16a0e9b9945/test/dynamo/cpython/3_13/test_ordered_dict.py" TargetMode="External"/><Relationship Id="rId318" Type="http://schemas.openxmlformats.org/officeDocument/2006/relationships/hyperlink" Target="https://github.com/pytorch/pytorch/blob/c9df4276cda732c5678ea0cd38b3f16a0e9b9945/test/dynamo/cpython/3_13/test_ordered_dict.py" TargetMode="External"/><Relationship Id="rId317" Type="http://schemas.openxmlformats.org/officeDocument/2006/relationships/hyperlink" Target="https://github.com/pytorch/pytorch/blob/c9df4276cda732c5678ea0cd38b3f16a0e9b9945/test/dynamo/cpython/3_13/test_ordered_dict.py" TargetMode="External"/><Relationship Id="rId312" Type="http://schemas.openxmlformats.org/officeDocument/2006/relationships/hyperlink" Target="https://github.com/pytorch/pytorch/blob/c9df4276cda732c5678ea0cd38b3f16a0e9b9945/test/dynamo/cpython/3_13/test_ordered_dict.py" TargetMode="External"/><Relationship Id="rId311" Type="http://schemas.openxmlformats.org/officeDocument/2006/relationships/hyperlink" Target="https://github.com/pytorch/pytorch/blob/c9df4276cda732c5678ea0cd38b3f16a0e9b9945/test/dynamo/cpython/3_13/test_range.py" TargetMode="External"/><Relationship Id="rId310" Type="http://schemas.openxmlformats.org/officeDocument/2006/relationships/hyperlink" Target="https://github.com/pytorch/pytorch/blob/c9df4276cda732c5678ea0cd38b3f16a0e9b9945/test/dynamo/cpython/3_13/test_set.p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0.0"/>
  </cols>
  <sheetData>
    <row r="1">
      <c r="A1" s="1"/>
      <c r="B1" s="1"/>
      <c r="C1" s="1"/>
      <c r="D1" s="1"/>
      <c r="E1" s="1"/>
      <c r="F1" s="1"/>
      <c r="G1" s="1"/>
      <c r="H1" s="1"/>
      <c r="I1" s="1"/>
      <c r="J1" s="1"/>
      <c r="K1" s="1"/>
      <c r="L1" s="1"/>
      <c r="M1" s="1"/>
      <c r="N1" s="1"/>
      <c r="O1" s="1"/>
      <c r="P1" s="1"/>
      <c r="Q1" s="1"/>
      <c r="R1" s="1"/>
      <c r="S1" s="1"/>
      <c r="T1" s="1"/>
      <c r="U1" s="1"/>
      <c r="V1" s="1"/>
      <c r="W1" s="1"/>
      <c r="X1" s="1"/>
      <c r="Y1" s="1"/>
      <c r="Z1" s="1"/>
    </row>
    <row r="2">
      <c r="A2" s="2" t="s">
        <v>0</v>
      </c>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1"/>
      <c r="C5" s="1"/>
      <c r="D5" s="1"/>
      <c r="E5" s="1"/>
      <c r="F5" s="1"/>
      <c r="G5" s="1"/>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r:id="rId1" ref="A2"/>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2" max="2" width="33.38"/>
    <col customWidth="1" min="3" max="3" width="40.25"/>
    <col customWidth="1" min="4" max="4" width="16.38"/>
    <col customWidth="1" min="5" max="5" width="61.0"/>
    <col customWidth="1" min="6" max="6" width="19.13"/>
    <col customWidth="1" min="7" max="7" width="17.63"/>
    <col customWidth="1" min="9" max="9" width="19.88"/>
    <col customWidth="1" min="10" max="10" width="64.75"/>
  </cols>
  <sheetData>
    <row r="1">
      <c r="A1" s="3" t="s">
        <v>1</v>
      </c>
      <c r="B1" s="3" t="s">
        <v>2</v>
      </c>
      <c r="C1" s="3" t="s">
        <v>3</v>
      </c>
      <c r="D1" s="3" t="s">
        <v>4</v>
      </c>
      <c r="E1" s="4" t="s">
        <v>5</v>
      </c>
      <c r="F1" s="5" t="s">
        <v>6</v>
      </c>
      <c r="G1" s="6" t="s">
        <v>7</v>
      </c>
      <c r="H1" s="6" t="s">
        <v>8</v>
      </c>
      <c r="I1" s="7" t="s">
        <v>9</v>
      </c>
      <c r="J1" s="8" t="s">
        <v>10</v>
      </c>
    </row>
    <row r="2">
      <c r="A2" s="9" t="s">
        <v>11</v>
      </c>
      <c r="B2" s="10"/>
      <c r="C2" s="10"/>
      <c r="D2" s="10"/>
      <c r="E2" s="11"/>
      <c r="F2" s="12"/>
      <c r="G2" s="13" t="b">
        <v>1</v>
      </c>
      <c r="H2" s="12"/>
      <c r="I2" s="12"/>
      <c r="J2" s="14"/>
    </row>
    <row r="3">
      <c r="A3" s="15" t="s">
        <v>12</v>
      </c>
      <c r="B3" s="16"/>
      <c r="C3" s="16"/>
      <c r="D3" s="16"/>
      <c r="E3" s="17"/>
      <c r="F3" s="18" t="b">
        <v>1</v>
      </c>
      <c r="G3" s="19" t="b">
        <v>1</v>
      </c>
      <c r="H3" s="20"/>
      <c r="I3" s="20"/>
      <c r="J3" s="14"/>
    </row>
    <row r="4">
      <c r="A4" s="21" t="str">
        <f>HYPERLINK("https://github.com/pytorch/pytorch/blob/f99ab991dcd3719ee25dd3377a53ea12e518308e/test/test_tensor_creation_ops.py#L98", "TestTensorCreation")</f>
        <v>TestTensorCreation</v>
      </c>
      <c r="B4" s="22" t="s">
        <v>13</v>
      </c>
      <c r="C4" s="22" t="s">
        <v>14</v>
      </c>
      <c r="D4" s="22" t="s">
        <v>15</v>
      </c>
      <c r="E4" s="23" t="s">
        <v>16</v>
      </c>
      <c r="F4" s="24" t="b">
        <f>IF(F3=TRUE,TRUE,FALSE)</f>
        <v>1</v>
      </c>
      <c r="G4" s="24" t="b">
        <v>1</v>
      </c>
      <c r="H4" s="25" t="str">
        <f>IF(G4=TRUE,H3,"")</f>
        <v/>
      </c>
      <c r="I4" s="26" t="s">
        <v>17</v>
      </c>
      <c r="J4" s="27" t="s">
        <v>18</v>
      </c>
    </row>
    <row r="5">
      <c r="A5" s="21" t="str">
        <f>HYPERLINK("https://github.com/pytorch/pytorch/blob/f99ab991dcd3719ee25dd3377a53ea12e518308e/test/test_tensor_creation_ops.py#L3304", "TestRandomTensorCreation")</f>
        <v>TestRandomTensorCreation</v>
      </c>
      <c r="B5" s="22" t="s">
        <v>13</v>
      </c>
      <c r="C5" s="22" t="s">
        <v>19</v>
      </c>
      <c r="D5" s="22" t="s">
        <v>15</v>
      </c>
      <c r="E5" s="23" t="s">
        <v>20</v>
      </c>
      <c r="F5" s="24" t="b">
        <f>IF(F3=TRUE,TRUE,FALSE)</f>
        <v>1</v>
      </c>
      <c r="G5" s="24" t="b">
        <v>1</v>
      </c>
      <c r="H5" s="25" t="str">
        <f>IF(G5=TRUE,H3,"")</f>
        <v/>
      </c>
      <c r="I5" s="26" t="s">
        <v>21</v>
      </c>
      <c r="J5" s="28" t="s">
        <v>22</v>
      </c>
    </row>
    <row r="6" hidden="1">
      <c r="A6" s="29" t="str">
        <f>HYPERLINK("https://github.com/pytorch/pytorch/blob/f99ab991dcd3719ee25dd3377a53ea12e518308e/test/test_tensor_creation_ops.py#L3758", "TestLikeTensorCreation")</f>
        <v>TestLikeTensorCreation</v>
      </c>
      <c r="B6" s="30" t="s">
        <v>13</v>
      </c>
      <c r="C6" s="30" t="s">
        <v>23</v>
      </c>
      <c r="D6" s="30" t="s">
        <v>15</v>
      </c>
      <c r="E6" s="31" t="s">
        <v>24</v>
      </c>
      <c r="F6" s="32" t="b">
        <v>1</v>
      </c>
      <c r="G6" s="33" t="b">
        <v>0</v>
      </c>
      <c r="H6" s="34" t="str">
        <f>IF(G6=TRUE,H3,"")</f>
        <v/>
      </c>
      <c r="I6" s="34"/>
      <c r="J6" s="14"/>
    </row>
    <row r="7" hidden="1">
      <c r="A7" s="35" t="str">
        <f>HYPERLINK("https://github.com/pytorch/pytorch/blob/f99ab991dcd3719ee25dd3377a53ea12e518308e/test/test_tensor_creation_ops.py#L3957", "TestBufferProtocol")</f>
        <v>TestBufferProtocol</v>
      </c>
      <c r="B7" s="25" t="s">
        <v>13</v>
      </c>
      <c r="C7" s="25" t="s">
        <v>25</v>
      </c>
      <c r="D7" s="25" t="s">
        <v>26</v>
      </c>
      <c r="E7" s="36" t="s">
        <v>27</v>
      </c>
      <c r="F7" s="37" t="b">
        <f>IF(F3=TRUE,TRUE,FALSE)</f>
        <v>1</v>
      </c>
      <c r="G7" s="37" t="b">
        <v>0</v>
      </c>
      <c r="H7" s="34" t="str">
        <f>IF(G7=TRUE,H3,"")</f>
        <v/>
      </c>
      <c r="I7" s="34"/>
      <c r="J7" s="14"/>
    </row>
    <row r="8">
      <c r="A8" s="21" t="str">
        <f>HYPERLINK("https://github.com/pytorch/pytorch/blob/f99ab991dcd3719ee25dd3377a53ea12e518308e/test/test_tensor_creation_ops.py#L4131", "TestAsArray")</f>
        <v>TestAsArray</v>
      </c>
      <c r="B8" s="22" t="s">
        <v>13</v>
      </c>
      <c r="C8" s="22" t="s">
        <v>28</v>
      </c>
      <c r="D8" s="22" t="s">
        <v>15</v>
      </c>
      <c r="E8" s="23" t="s">
        <v>29</v>
      </c>
      <c r="F8" s="24" t="b">
        <f>IF(F3=TRUE,TRUE,FALSE)</f>
        <v>1</v>
      </c>
      <c r="G8" s="24" t="b">
        <v>1</v>
      </c>
      <c r="H8" s="25" t="str">
        <f>IF(G8=TRUE,H3,"")</f>
        <v/>
      </c>
      <c r="I8" s="26" t="s">
        <v>21</v>
      </c>
      <c r="J8" s="28" t="s">
        <v>18</v>
      </c>
    </row>
    <row r="9" hidden="1">
      <c r="A9" s="15" t="s">
        <v>30</v>
      </c>
      <c r="B9" s="16"/>
      <c r="C9" s="16"/>
      <c r="D9" s="16"/>
      <c r="E9" s="17"/>
      <c r="F9" s="18" t="b">
        <v>1</v>
      </c>
      <c r="G9" s="18" t="b">
        <v>0</v>
      </c>
      <c r="H9" s="20"/>
      <c r="I9" s="20"/>
      <c r="J9" s="14"/>
    </row>
    <row r="10">
      <c r="A10" s="21" t="str">
        <f>HYPERLINK("https://github.com/pytorch/pytorch/blob/f99ab991dcd3719ee25dd3377a53ea12e518308e/test/test_unary_ufuncs.py#L81", "TestUnaryUfuncs")</f>
        <v>TestUnaryUfuncs</v>
      </c>
      <c r="B10" s="22" t="s">
        <v>31</v>
      </c>
      <c r="C10" s="22" t="s">
        <v>32</v>
      </c>
      <c r="D10" s="22" t="s">
        <v>15</v>
      </c>
      <c r="E10" s="23" t="s">
        <v>33</v>
      </c>
      <c r="F10" s="24" t="b">
        <f>IF(F9=TRUE,TRUE,FALSE)</f>
        <v>1</v>
      </c>
      <c r="G10" s="24" t="b">
        <v>1</v>
      </c>
      <c r="H10" s="25" t="str">
        <f>IF(G10=TRUE,H9,"")</f>
        <v/>
      </c>
      <c r="I10" s="26" t="s">
        <v>21</v>
      </c>
      <c r="J10" s="28" t="s">
        <v>34</v>
      </c>
    </row>
    <row r="11" hidden="1">
      <c r="A11" s="15" t="s">
        <v>35</v>
      </c>
      <c r="B11" s="16"/>
      <c r="C11" s="16"/>
      <c r="D11" s="16"/>
      <c r="E11" s="17"/>
      <c r="F11" s="18" t="b">
        <v>1</v>
      </c>
      <c r="G11" s="18" t="b">
        <v>0</v>
      </c>
      <c r="H11" s="20"/>
      <c r="I11" s="20"/>
      <c r="J11" s="14"/>
    </row>
    <row r="12">
      <c r="A12" s="21" t="str">
        <f>HYPERLINK("https://github.com/pytorch/pytorch/blob/f99ab991dcd3719ee25dd3377a53ea12e518308e/test/test_binary_ufuncs.py#L89", "TestBinaryUfuncs")</f>
        <v>TestBinaryUfuncs</v>
      </c>
      <c r="B12" s="22" t="s">
        <v>36</v>
      </c>
      <c r="C12" s="22" t="s">
        <v>37</v>
      </c>
      <c r="D12" s="22" t="s">
        <v>15</v>
      </c>
      <c r="E12" s="38" t="s">
        <v>38</v>
      </c>
      <c r="F12" s="24" t="b">
        <f>IF(F11=TRUE,TRUE,FALSE)</f>
        <v>1</v>
      </c>
      <c r="G12" s="24" t="b">
        <v>1</v>
      </c>
      <c r="H12" s="25" t="str">
        <f>IF(G12=TRUE,H11,"")</f>
        <v/>
      </c>
      <c r="I12" s="26" t="s">
        <v>39</v>
      </c>
      <c r="J12" s="27" t="s">
        <v>40</v>
      </c>
    </row>
    <row r="13" hidden="1">
      <c r="A13" s="15" t="s">
        <v>41</v>
      </c>
      <c r="B13" s="16"/>
      <c r="C13" s="16"/>
      <c r="D13" s="16"/>
      <c r="E13" s="17"/>
      <c r="F13" s="18" t="b">
        <v>1</v>
      </c>
      <c r="G13" s="18" t="b">
        <v>0</v>
      </c>
      <c r="H13" s="20"/>
      <c r="I13" s="20"/>
      <c r="J13" s="14"/>
    </row>
    <row r="14">
      <c r="A14" s="21" t="str">
        <f>HYPERLINK("https://github.com/pytorch/pytorch/blob/f99ab991dcd3719ee25dd3377a53ea12e518308e/test/test_reductions.py#L102", "TestReductions")</f>
        <v>TestReductions</v>
      </c>
      <c r="B14" s="22" t="s">
        <v>42</v>
      </c>
      <c r="C14" s="22" t="s">
        <v>43</v>
      </c>
      <c r="D14" s="22" t="s">
        <v>15</v>
      </c>
      <c r="E14" s="23" t="s">
        <v>44</v>
      </c>
      <c r="F14" s="24" t="b">
        <f>IF(F13=TRUE,TRUE,FALSE)</f>
        <v>1</v>
      </c>
      <c r="G14" s="24" t="b">
        <v>1</v>
      </c>
      <c r="H14" s="25" t="str">
        <f>IF(G14=TRUE,H13,"")</f>
        <v/>
      </c>
      <c r="I14" s="26" t="s">
        <v>45</v>
      </c>
      <c r="J14" s="27" t="s">
        <v>46</v>
      </c>
    </row>
    <row r="15" hidden="1">
      <c r="A15" s="15" t="s">
        <v>47</v>
      </c>
      <c r="B15" s="16"/>
      <c r="C15" s="16"/>
      <c r="D15" s="16"/>
      <c r="E15" s="17"/>
      <c r="F15" s="18" t="b">
        <v>1</v>
      </c>
      <c r="G15" s="18" t="b">
        <v>0</v>
      </c>
      <c r="H15" s="20"/>
      <c r="I15" s="20"/>
      <c r="J15" s="14"/>
    </row>
    <row r="16">
      <c r="A16" s="21" t="str">
        <f>HYPERLINK("https://github.com/pytorch/pytorch/blob/f99ab991dcd3719ee25dd3377a53ea12e518308e/test/test_indexing.py#L49", "TestIndexing")</f>
        <v>TestIndexing</v>
      </c>
      <c r="B16" s="22" t="s">
        <v>48</v>
      </c>
      <c r="C16" s="22" t="s">
        <v>49</v>
      </c>
      <c r="D16" s="22" t="s">
        <v>50</v>
      </c>
      <c r="E16" s="23" t="s">
        <v>51</v>
      </c>
      <c r="F16" s="24" t="b">
        <f>IF(F15=TRUE,TRUE,FALSE)</f>
        <v>1</v>
      </c>
      <c r="G16" s="24" t="b">
        <v>1</v>
      </c>
      <c r="H16" s="25" t="str">
        <f>IF(G16=TRUE,H15,"")</f>
        <v/>
      </c>
      <c r="I16" s="26" t="s">
        <v>45</v>
      </c>
      <c r="J16" s="27" t="s">
        <v>52</v>
      </c>
    </row>
    <row r="17" hidden="1">
      <c r="A17" s="35" t="str">
        <f>HYPERLINK("https://github.com/pytorch/pytorch/blob/f99ab991dcd3719ee25dd3377a53ea12e518308e/test/test_indexing.py#L2185", "NumpyTests")</f>
        <v>NumpyTests</v>
      </c>
      <c r="B17" s="25" t="s">
        <v>48</v>
      </c>
      <c r="C17" s="25" t="s">
        <v>53</v>
      </c>
      <c r="D17" s="25" t="s">
        <v>50</v>
      </c>
      <c r="E17" s="36" t="s">
        <v>54</v>
      </c>
      <c r="F17" s="37" t="b">
        <f t="shared" ref="F17:G17" si="1">IF(F15=TRUE,TRUE,FALSE)</f>
        <v>1</v>
      </c>
      <c r="G17" s="37" t="b">
        <f t="shared" si="1"/>
        <v>0</v>
      </c>
      <c r="H17" s="34" t="str">
        <f>IF(G17=TRUE,H15,"")</f>
        <v/>
      </c>
      <c r="I17" s="34"/>
      <c r="J17" s="14"/>
    </row>
    <row r="18" hidden="1">
      <c r="A18" s="15" t="s">
        <v>55</v>
      </c>
      <c r="B18" s="16"/>
      <c r="C18" s="16"/>
      <c r="D18" s="16"/>
      <c r="E18" s="17"/>
      <c r="F18" s="18" t="b">
        <v>1</v>
      </c>
      <c r="G18" s="18" t="b">
        <v>0</v>
      </c>
      <c r="H18" s="20"/>
      <c r="I18" s="20"/>
      <c r="J18" s="14"/>
    </row>
    <row r="19">
      <c r="A19" s="21" t="str">
        <f>HYPERLINK("https://github.com/pytorch/pytorch/blob/f99ab991dcd3719ee25dd3377a53ea12e518308e/test/test_shape_ops.py#L72", "TestShapeOps")</f>
        <v>TestShapeOps</v>
      </c>
      <c r="B19" s="22" t="s">
        <v>56</v>
      </c>
      <c r="C19" s="22" t="s">
        <v>57</v>
      </c>
      <c r="D19" s="22" t="s">
        <v>15</v>
      </c>
      <c r="E19" s="23" t="s">
        <v>58</v>
      </c>
      <c r="F19" s="24" t="b">
        <f>IF(F18=TRUE,TRUE,FALSE)</f>
        <v>1</v>
      </c>
      <c r="G19" s="24" t="b">
        <v>1</v>
      </c>
      <c r="H19" s="25" t="str">
        <f>IF(G19=TRUE,H18,"")</f>
        <v/>
      </c>
      <c r="I19" s="26" t="s">
        <v>59</v>
      </c>
      <c r="J19" s="27" t="s">
        <v>60</v>
      </c>
    </row>
    <row r="20" hidden="1">
      <c r="A20" s="15" t="s">
        <v>61</v>
      </c>
      <c r="B20" s="16"/>
      <c r="C20" s="16"/>
      <c r="D20" s="16"/>
      <c r="E20" s="17"/>
      <c r="F20" s="18" t="b">
        <v>1</v>
      </c>
      <c r="G20" s="18" t="b">
        <v>0</v>
      </c>
      <c r="H20" s="20"/>
      <c r="I20" s="20"/>
      <c r="J20" s="14"/>
    </row>
    <row r="21" hidden="1">
      <c r="A21" s="35" t="str">
        <f>HYPERLINK("https://github.com/pytorch/pytorch/blob/f99ab991dcd3719ee25dd3377a53ea12e518308e/test/test_as_strided.py#L87", "TestAsStrided")</f>
        <v>TestAsStrided</v>
      </c>
      <c r="B21" s="25" t="s">
        <v>62</v>
      </c>
      <c r="C21" s="25" t="s">
        <v>63</v>
      </c>
      <c r="D21" s="25" t="s">
        <v>64</v>
      </c>
      <c r="E21" s="36" t="s">
        <v>65</v>
      </c>
      <c r="F21" s="37" t="b">
        <f t="shared" ref="F21:G21" si="2">IF(F20=TRUE,TRUE,FALSE)</f>
        <v>1</v>
      </c>
      <c r="G21" s="37" t="b">
        <f t="shared" si="2"/>
        <v>0</v>
      </c>
      <c r="H21" s="34" t="str">
        <f>IF(G21=TRUE,H20,"")</f>
        <v/>
      </c>
      <c r="I21" s="34"/>
      <c r="J21" s="14"/>
    </row>
    <row r="22" hidden="1">
      <c r="A22" s="29" t="str">
        <f>HYPERLINK("https://github.com/pytorch/pytorch/blob/f99ab991dcd3719ee25dd3377a53ea12e518308e/test/test_view_ops.py#L121", "TestViewOps")</f>
        <v>TestViewOps</v>
      </c>
      <c r="B22" s="30" t="s">
        <v>66</v>
      </c>
      <c r="C22" s="30" t="s">
        <v>67</v>
      </c>
      <c r="D22" s="30" t="s">
        <v>15</v>
      </c>
      <c r="E22" s="31" t="s">
        <v>24</v>
      </c>
      <c r="F22" s="33" t="b">
        <f t="shared" ref="F22:G22" si="3">IF(F20=TRUE,TRUE,FALSE)</f>
        <v>1</v>
      </c>
      <c r="G22" s="33" t="b">
        <f t="shared" si="3"/>
        <v>0</v>
      </c>
      <c r="H22" s="34" t="str">
        <f>IF(G22=TRUE,H20,"")</f>
        <v/>
      </c>
      <c r="I22" s="34"/>
      <c r="J22" s="14"/>
    </row>
    <row r="23" hidden="1">
      <c r="A23" s="35" t="str">
        <f>HYPERLINK("https://github.com/pytorch/pytorch/blob/f99ab991dcd3719ee25dd3377a53ea12e518308e/test/test_view_ops.py#L1142", "TestOldViewOps")</f>
        <v>TestOldViewOps</v>
      </c>
      <c r="B23" s="25" t="s">
        <v>66</v>
      </c>
      <c r="C23" s="25" t="s">
        <v>68</v>
      </c>
      <c r="D23" s="25" t="s">
        <v>15</v>
      </c>
      <c r="E23" s="39" t="s">
        <v>24</v>
      </c>
      <c r="F23" s="37" t="b">
        <f>IF(F20=TRUE,TRUE,FALSE)</f>
        <v>1</v>
      </c>
      <c r="G23" s="37" t="b">
        <v>0</v>
      </c>
      <c r="H23" s="34" t="str">
        <f>IF(G23=TRUE,H20,"")</f>
        <v/>
      </c>
      <c r="I23" s="34"/>
      <c r="J23" s="14"/>
    </row>
    <row r="24" hidden="1">
      <c r="A24" s="15" t="s">
        <v>69</v>
      </c>
      <c r="B24" s="16"/>
      <c r="C24" s="16"/>
      <c r="D24" s="16"/>
      <c r="E24" s="17"/>
      <c r="F24" s="18" t="b">
        <v>1</v>
      </c>
      <c r="G24" s="18" t="b">
        <v>0</v>
      </c>
      <c r="H24" s="20"/>
      <c r="I24" s="20"/>
      <c r="J24" s="14"/>
    </row>
    <row r="25">
      <c r="A25" s="21" t="str">
        <f>HYPERLINK("https://github.com/pytorch/pytorch/blob/f99ab991dcd3719ee25dd3377a53ea12e518308e/test/test_sort_and_select.py#L35", "TestSortAndSelect")</f>
        <v>TestSortAndSelect</v>
      </c>
      <c r="B25" s="22" t="s">
        <v>70</v>
      </c>
      <c r="C25" s="22" t="s">
        <v>71</v>
      </c>
      <c r="D25" s="22" t="s">
        <v>15</v>
      </c>
      <c r="E25" s="23" t="s">
        <v>72</v>
      </c>
      <c r="F25" s="24" t="b">
        <f>IF(F24=TRUE,TRUE,FALSE)</f>
        <v>1</v>
      </c>
      <c r="G25" s="24" t="b">
        <v>1</v>
      </c>
      <c r="H25" s="25" t="str">
        <f>IF(G25=TRUE,H24,"")</f>
        <v/>
      </c>
      <c r="I25" s="26" t="s">
        <v>45</v>
      </c>
      <c r="J25" s="28" t="s">
        <v>73</v>
      </c>
    </row>
    <row r="26" hidden="1">
      <c r="A26" s="15" t="s">
        <v>74</v>
      </c>
      <c r="B26" s="16"/>
      <c r="C26" s="16"/>
      <c r="D26" s="16"/>
      <c r="E26" s="17"/>
      <c r="F26" s="18" t="b">
        <v>1</v>
      </c>
      <c r="G26" s="18" t="b">
        <v>0</v>
      </c>
      <c r="H26" s="20"/>
      <c r="I26" s="20"/>
      <c r="J26" s="14"/>
    </row>
    <row r="27">
      <c r="A27" s="21" t="str">
        <f>HYPERLINK("https://github.com/pytorch/pytorch/blob/f99ab991dcd3719ee25dd3377a53ea12e518308e/test/test_scatter_gather_ops.py#L27", "TestScatterGather")</f>
        <v>TestScatterGather</v>
      </c>
      <c r="B27" s="22" t="s">
        <v>75</v>
      </c>
      <c r="C27" s="22" t="s">
        <v>76</v>
      </c>
      <c r="D27" s="22" t="s">
        <v>15</v>
      </c>
      <c r="E27" s="23" t="s">
        <v>77</v>
      </c>
      <c r="F27" s="24" t="b">
        <f>IF(F26=TRUE,TRUE,FALSE)</f>
        <v>1</v>
      </c>
      <c r="G27" s="24" t="b">
        <v>1</v>
      </c>
      <c r="H27" s="25" t="str">
        <f>IF(G27=TRUE,H26,"")</f>
        <v/>
      </c>
      <c r="I27" s="26" t="s">
        <v>45</v>
      </c>
      <c r="J27" s="40" t="s">
        <v>78</v>
      </c>
    </row>
    <row r="28" hidden="1">
      <c r="A28" s="29" t="str">
        <f>HYPERLINK("https://github.com/pytorch/pytorch/blob/f99ab991dcd3719ee25dd3377a53ea12e518308e/test/test_segment_reductions.py#L38", "TestSegmentReductions")</f>
        <v>TestSegmentReductions</v>
      </c>
      <c r="B28" s="30" t="s">
        <v>79</v>
      </c>
      <c r="C28" s="30" t="s">
        <v>80</v>
      </c>
      <c r="D28" s="30" t="s">
        <v>15</v>
      </c>
      <c r="E28" s="31" t="s">
        <v>24</v>
      </c>
      <c r="F28" s="33" t="b">
        <v>0</v>
      </c>
      <c r="G28" s="33" t="b">
        <f>IF(G26=TRUE,TRUE,FALSE)</f>
        <v>0</v>
      </c>
      <c r="H28" s="34" t="str">
        <f>IF(G28=TRUE,H26,"")</f>
        <v/>
      </c>
      <c r="I28" s="34"/>
      <c r="J28" s="14" t="s">
        <v>81</v>
      </c>
    </row>
    <row r="29" hidden="1">
      <c r="A29" s="15" t="s">
        <v>82</v>
      </c>
      <c r="B29" s="16"/>
      <c r="C29" s="16"/>
      <c r="D29" s="16"/>
      <c r="E29" s="17"/>
      <c r="F29" s="18" t="b">
        <v>1</v>
      </c>
      <c r="G29" s="18" t="b">
        <v>0</v>
      </c>
      <c r="H29" s="20"/>
      <c r="I29" s="20"/>
      <c r="J29" s="14"/>
    </row>
    <row r="30" hidden="1">
      <c r="A30" s="35" t="str">
        <f>HYPERLINK("https://github.com/pytorch/pytorch/blob/f99ab991dcd3719ee25dd3377a53ea12e518308e/test/test_foreach.py#L153", "TestForeach")</f>
        <v>TestForeach</v>
      </c>
      <c r="B30" s="25" t="s">
        <v>83</v>
      </c>
      <c r="C30" s="25" t="s">
        <v>84</v>
      </c>
      <c r="D30" s="25" t="s">
        <v>15</v>
      </c>
      <c r="E30" s="36" t="s">
        <v>85</v>
      </c>
      <c r="F30" s="37" t="b">
        <f>IF(F29=TRUE,TRUE,FALSE)</f>
        <v>1</v>
      </c>
      <c r="G30" s="37" t="b">
        <v>0</v>
      </c>
      <c r="H30" s="34" t="str">
        <f>IF(G30=TRUE,H29,"")</f>
        <v/>
      </c>
      <c r="I30" s="41"/>
      <c r="J30" s="14"/>
    </row>
    <row r="31" hidden="1">
      <c r="A31" s="15" t="s">
        <v>86</v>
      </c>
      <c r="B31" s="16"/>
      <c r="C31" s="16"/>
      <c r="D31" s="16"/>
      <c r="E31" s="17"/>
      <c r="F31" s="18" t="b">
        <v>1</v>
      </c>
      <c r="G31" s="18" t="b">
        <v>0</v>
      </c>
      <c r="H31" s="18" t="s">
        <v>87</v>
      </c>
      <c r="I31" s="20"/>
      <c r="J31" s="14"/>
    </row>
    <row r="32" hidden="1">
      <c r="A32" s="29" t="str">
        <f>HYPERLINK("https://github.com/pytorch/pytorch/blob/f99ab991dcd3719ee25dd3377a53ea12e518308e/test/test_spectral_ops.py#L128", "TestFFT")</f>
        <v>TestFFT</v>
      </c>
      <c r="B32" s="30" t="s">
        <v>88</v>
      </c>
      <c r="C32" s="30" t="s">
        <v>89</v>
      </c>
      <c r="D32" s="30" t="s">
        <v>15</v>
      </c>
      <c r="E32" s="31" t="s">
        <v>90</v>
      </c>
      <c r="F32" s="33" t="b">
        <f t="shared" ref="F32:G32" si="4">IF(F31=TRUE,TRUE,FALSE)</f>
        <v>1</v>
      </c>
      <c r="G32" s="33" t="b">
        <f t="shared" si="4"/>
        <v>0</v>
      </c>
      <c r="H32" s="42" t="s">
        <v>87</v>
      </c>
      <c r="I32" s="34"/>
      <c r="J32" s="14"/>
    </row>
    <row r="33" hidden="1">
      <c r="A33" s="35" t="str">
        <f>HYPERLINK("https://github.com/pytorch/pytorch/blob/f99ab991dcd3719ee25dd3377a53ea12e518308e/test/test_spectral_ops.py#L1630", "TestFFTDocExamples")</f>
        <v>TestFFTDocExamples</v>
      </c>
      <c r="B33" s="25" t="s">
        <v>88</v>
      </c>
      <c r="C33" s="25" t="s">
        <v>91</v>
      </c>
      <c r="D33" s="25" t="s">
        <v>26</v>
      </c>
      <c r="E33" s="36" t="s">
        <v>92</v>
      </c>
      <c r="F33" s="37" t="b">
        <f t="shared" ref="F33:G33" si="5">IF(F31=TRUE,TRUE,FALSE)</f>
        <v>1</v>
      </c>
      <c r="G33" s="37" t="b">
        <f t="shared" si="5"/>
        <v>0</v>
      </c>
      <c r="H33" s="34" t="str">
        <f>IF(G33=TRUE,H31,"")</f>
        <v/>
      </c>
      <c r="I33" s="34"/>
      <c r="J33" s="14"/>
    </row>
    <row r="34" hidden="1">
      <c r="A34" s="15" t="s">
        <v>93</v>
      </c>
      <c r="B34" s="16"/>
      <c r="C34" s="16"/>
      <c r="D34" s="16"/>
      <c r="E34" s="17"/>
      <c r="F34" s="18" t="b">
        <v>1</v>
      </c>
      <c r="G34" s="18" t="b">
        <v>0</v>
      </c>
      <c r="H34" s="20"/>
      <c r="I34" s="20"/>
      <c r="J34" s="14"/>
    </row>
    <row r="35" hidden="1">
      <c r="A35" s="29" t="str">
        <f>HYPERLINK("https://github.com/pytorch/pytorch/blob/f99ab991dcd3719ee25dd3377a53ea12e518308e/test/test_masked.py#L266", "TestMasked")</f>
        <v>TestMasked</v>
      </c>
      <c r="B35" s="30" t="s">
        <v>94</v>
      </c>
      <c r="C35" s="30" t="s">
        <v>95</v>
      </c>
      <c r="D35" s="30" t="s">
        <v>50</v>
      </c>
      <c r="E35" s="31" t="s">
        <v>96</v>
      </c>
      <c r="F35" s="32" t="b">
        <v>0</v>
      </c>
      <c r="G35" s="33" t="b">
        <f>IF(G34=TRUE,TRUE,FALSE)</f>
        <v>0</v>
      </c>
      <c r="H35" s="34" t="str">
        <f>IF(G35=TRUE,H34,"")</f>
        <v/>
      </c>
      <c r="I35" s="34"/>
      <c r="J35" s="14"/>
    </row>
    <row r="36" hidden="1">
      <c r="A36" s="9" t="s">
        <v>97</v>
      </c>
      <c r="B36" s="10"/>
      <c r="C36" s="10"/>
      <c r="D36" s="10"/>
      <c r="E36" s="11"/>
      <c r="F36" s="12"/>
      <c r="G36" s="12"/>
      <c r="H36" s="12"/>
      <c r="I36" s="12"/>
      <c r="J36" s="14"/>
    </row>
    <row r="37" hidden="1">
      <c r="A37" s="15" t="s">
        <v>98</v>
      </c>
      <c r="B37" s="16"/>
      <c r="C37" s="16"/>
      <c r="D37" s="16"/>
      <c r="E37" s="17"/>
      <c r="F37" s="18" t="b">
        <v>1</v>
      </c>
      <c r="G37" s="18" t="b">
        <v>0</v>
      </c>
      <c r="H37" s="20"/>
      <c r="I37" s="20"/>
      <c r="J37" s="14"/>
    </row>
    <row r="38" hidden="1">
      <c r="A38" s="35" t="str">
        <f>HYPERLINK("https://github.com/pytorch/pytorch/blob/f99ab991dcd3719ee25dd3377a53ea12e518308e/test/test_torch.py#L103", "TestBasicVitalSigns")</f>
        <v>TestBasicVitalSigns</v>
      </c>
      <c r="B38" s="25" t="s">
        <v>99</v>
      </c>
      <c r="C38" s="25" t="s">
        <v>100</v>
      </c>
      <c r="D38" s="25" t="s">
        <v>64</v>
      </c>
      <c r="E38" s="36" t="s">
        <v>101</v>
      </c>
      <c r="F38" s="43" t="b">
        <v>0</v>
      </c>
      <c r="G38" s="37" t="b">
        <f>IF(G37=TRUE,TRUE,FALSE)</f>
        <v>0</v>
      </c>
      <c r="H38" s="34" t="str">
        <f>IF(G38=TRUE,H37,"")</f>
        <v/>
      </c>
      <c r="I38" s="34"/>
      <c r="J38" s="14"/>
    </row>
    <row r="39">
      <c r="A39" s="21" t="str">
        <f>HYPERLINK("https://github.com/pytorch/pytorch/blob/f99ab991dcd3719ee25dd3377a53ea12e518308e/test/test_torch.py#L127", "TestVitalSignsCuda")</f>
        <v>TestVitalSignsCuda</v>
      </c>
      <c r="B39" s="22" t="s">
        <v>99</v>
      </c>
      <c r="C39" s="22" t="s">
        <v>102</v>
      </c>
      <c r="D39" s="22" t="s">
        <v>15</v>
      </c>
      <c r="E39" s="23" t="s">
        <v>103</v>
      </c>
      <c r="F39" s="44" t="b">
        <v>0</v>
      </c>
      <c r="G39" s="24" t="b">
        <v>1</v>
      </c>
      <c r="H39" s="25" t="str">
        <f>IF(G39=TRUE,H37,"")</f>
        <v/>
      </c>
      <c r="I39" s="37" t="s">
        <v>104</v>
      </c>
      <c r="J39" s="45" t="s">
        <v>105</v>
      </c>
    </row>
    <row r="40" hidden="1">
      <c r="A40" s="46" t="str">
        <f>HYPERLINK("https://github.com/pytorch/pytorch/blob/f99ab991dcd3719ee25dd3377a53ea12e518308e/test/test_torch.py#L136", "TestTorchDeviceType")</f>
        <v>TestTorchDeviceType</v>
      </c>
      <c r="B40" s="47" t="s">
        <v>99</v>
      </c>
      <c r="C40" s="47" t="s">
        <v>106</v>
      </c>
      <c r="D40" s="47" t="s">
        <v>15</v>
      </c>
      <c r="E40" s="39" t="s">
        <v>107</v>
      </c>
      <c r="F40" s="48" t="b">
        <f t="shared" ref="F40:G40" si="6">IF(F37=TRUE,TRUE,FALSE)</f>
        <v>1</v>
      </c>
      <c r="G40" s="48" t="b">
        <f t="shared" si="6"/>
        <v>0</v>
      </c>
      <c r="H40" s="47" t="str">
        <f>IF(G40=TRUE,H37,"")</f>
        <v/>
      </c>
      <c r="I40" s="47"/>
      <c r="J40" s="14"/>
    </row>
    <row r="41" hidden="1">
      <c r="A41" s="46" t="str">
        <f>HYPERLINK("https://github.com/pytorch/pytorch/blob/f99ab991dcd3719ee25dd3377a53ea12e518308e/test/test_torch.py#L6292", "TestDevicePrecision")</f>
        <v>TestDevicePrecision</v>
      </c>
      <c r="B41" s="47" t="s">
        <v>99</v>
      </c>
      <c r="C41" s="47" t="s">
        <v>108</v>
      </c>
      <c r="D41" s="47" t="s">
        <v>109</v>
      </c>
      <c r="E41" s="39" t="s">
        <v>110</v>
      </c>
      <c r="F41" s="48" t="b">
        <f t="shared" ref="F41:G41" si="7">IF(F37=TRUE,TRUE,FALSE)</f>
        <v>1</v>
      </c>
      <c r="G41" s="48" t="b">
        <f t="shared" si="7"/>
        <v>0</v>
      </c>
      <c r="H41" s="47" t="str">
        <f>IF(G41=TRUE,H37,"")</f>
        <v/>
      </c>
      <c r="I41" s="47"/>
      <c r="J41" s="14"/>
    </row>
    <row r="42">
      <c r="A42" s="21" t="str">
        <f>HYPERLINK("https://github.com/pytorch/pytorch/blob/f99ab991dcd3719ee25dd3377a53ea12e518308e/test/test_torch.py#L6526", "TestTorch")</f>
        <v>TestTorch</v>
      </c>
      <c r="B42" s="22" t="s">
        <v>99</v>
      </c>
      <c r="C42" s="22" t="s">
        <v>111</v>
      </c>
      <c r="D42" s="22" t="s">
        <v>112</v>
      </c>
      <c r="E42" s="23" t="s">
        <v>113</v>
      </c>
      <c r="F42" s="24" t="b">
        <f>IF(F37=TRUE,TRUE,FALSE)</f>
        <v>1</v>
      </c>
      <c r="G42" s="24" t="b">
        <v>1</v>
      </c>
      <c r="H42" s="37" t="s">
        <v>114</v>
      </c>
      <c r="I42" s="37" t="s">
        <v>104</v>
      </c>
      <c r="J42" s="28" t="s">
        <v>105</v>
      </c>
    </row>
    <row r="43" hidden="1">
      <c r="A43" s="29" t="str">
        <f>HYPERLINK("https://github.com/pytorch/pytorch/blob/f99ab991dcd3719ee25dd3377a53ea12e518308e/test/test_torch.py#L10864", "TestViewOps")</f>
        <v>TestViewOps</v>
      </c>
      <c r="B43" s="30" t="s">
        <v>99</v>
      </c>
      <c r="C43" s="30" t="s">
        <v>115</v>
      </c>
      <c r="D43" s="30" t="s">
        <v>15</v>
      </c>
      <c r="E43" s="31" t="s">
        <v>116</v>
      </c>
      <c r="F43" s="33" t="b">
        <v>0</v>
      </c>
      <c r="G43" s="33" t="b">
        <f>IF(G37=TRUE,TRUE,FALSE)</f>
        <v>0</v>
      </c>
      <c r="H43" s="34" t="str">
        <f>IF(G43=TRUE,H37,"")</f>
        <v/>
      </c>
      <c r="I43" s="34"/>
      <c r="J43" s="14"/>
    </row>
    <row r="44" hidden="1">
      <c r="A44" s="35" t="str">
        <f>HYPERLINK("https://github.com/pytorch/pytorch/blob/f99ab991dcd3719ee25dd3377a53ea12e518308e/test/test_torch.py#L10867", "TestTensorDeviceOps")</f>
        <v>TestTensorDeviceOps</v>
      </c>
      <c r="B44" s="25" t="s">
        <v>99</v>
      </c>
      <c r="C44" s="25" t="s">
        <v>117</v>
      </c>
      <c r="D44" s="25" t="s">
        <v>15</v>
      </c>
      <c r="E44" s="36" t="s">
        <v>116</v>
      </c>
      <c r="F44" s="37" t="b">
        <v>0</v>
      </c>
      <c r="G44" s="37" t="b">
        <f>IF(G37=TRUE,TRUE,FALSE)</f>
        <v>0</v>
      </c>
      <c r="H44" s="34" t="str">
        <f>IF(G44=TRUE,H37,"")</f>
        <v/>
      </c>
      <c r="I44" s="34"/>
      <c r="J44" s="14"/>
    </row>
    <row r="45" hidden="1">
      <c r="A45" s="15" t="s">
        <v>118</v>
      </c>
      <c r="B45" s="16"/>
      <c r="C45" s="16"/>
      <c r="D45" s="16"/>
      <c r="E45" s="17"/>
      <c r="F45" s="18" t="b">
        <v>1</v>
      </c>
      <c r="G45" s="18" t="b">
        <v>0</v>
      </c>
      <c r="H45" s="20"/>
      <c r="I45" s="20"/>
      <c r="J45" s="14"/>
    </row>
    <row r="46" hidden="1">
      <c r="A46" s="29" t="str">
        <f>HYPERLINK("https://github.com/pytorch/pytorch/blob/f99ab991dcd3719ee25dd3377a53ea12e518308e/test/test_type_promotion.py#L40", "TestTypePromotion")</f>
        <v>TestTypePromotion</v>
      </c>
      <c r="B46" s="30" t="s">
        <v>119</v>
      </c>
      <c r="C46" s="30" t="s">
        <v>120</v>
      </c>
      <c r="D46" s="30" t="s">
        <v>15</v>
      </c>
      <c r="E46" s="31" t="s">
        <v>24</v>
      </c>
      <c r="F46" s="33" t="b">
        <f t="shared" ref="F46:G46" si="8">IF(F45=TRUE,TRUE,FALSE)</f>
        <v>1</v>
      </c>
      <c r="G46" s="33" t="b">
        <f t="shared" si="8"/>
        <v>0</v>
      </c>
      <c r="H46" s="34" t="str">
        <f>IF(G46=TRUE,H45,"")</f>
        <v/>
      </c>
      <c r="I46" s="34"/>
      <c r="J46" s="14"/>
    </row>
    <row r="47" hidden="1">
      <c r="A47" s="15" t="s">
        <v>121</v>
      </c>
      <c r="B47" s="16"/>
      <c r="C47" s="16"/>
      <c r="D47" s="16"/>
      <c r="E47" s="17"/>
      <c r="F47" s="18" t="b">
        <v>1</v>
      </c>
      <c r="G47" s="18" t="b">
        <v>0</v>
      </c>
      <c r="H47" s="20"/>
      <c r="I47" s="20"/>
      <c r="J47" s="14"/>
    </row>
    <row r="48" hidden="1">
      <c r="A48" s="35" t="str">
        <f>HYPERLINK("https://github.com/pytorch/pytorch/blob/f99ab991dcd3719ee25dd3377a53ea12e518308e/test/test_type_info.py#L27", "TestDTypeInfo")</f>
        <v>TestDTypeInfo</v>
      </c>
      <c r="B48" s="25" t="s">
        <v>122</v>
      </c>
      <c r="C48" s="25" t="s">
        <v>123</v>
      </c>
      <c r="D48" s="25" t="s">
        <v>64</v>
      </c>
      <c r="E48" s="36" t="s">
        <v>124</v>
      </c>
      <c r="F48" s="37" t="b">
        <f t="shared" ref="F48:G48" si="9">IF(F47=TRUE,TRUE,FALSE)</f>
        <v>1</v>
      </c>
      <c r="G48" s="37" t="b">
        <f t="shared" si="9"/>
        <v>0</v>
      </c>
      <c r="H48" s="34" t="str">
        <f>IF(G48=TRUE,H47,"")</f>
        <v/>
      </c>
      <c r="I48" s="34"/>
      <c r="J48" s="14"/>
    </row>
    <row r="49" hidden="1">
      <c r="A49" s="15" t="s">
        <v>125</v>
      </c>
      <c r="B49" s="16"/>
      <c r="C49" s="16"/>
      <c r="D49" s="16"/>
      <c r="E49" s="17"/>
      <c r="F49" s="19" t="b">
        <v>0</v>
      </c>
      <c r="G49" s="18" t="b">
        <v>0</v>
      </c>
      <c r="H49" s="18" t="s">
        <v>87</v>
      </c>
      <c r="I49" s="20"/>
      <c r="J49" s="14"/>
    </row>
    <row r="50" hidden="1">
      <c r="A50" s="29" t="str">
        <f>HYPERLINK("https://github.com/pytorch/pytorch/blob/f99ab991dcd3719ee25dd3377a53ea12e518308e/test/complex_tensor/test_complex_tensor.py#L130", "TestComplexTensor")</f>
        <v>TestComplexTensor</v>
      </c>
      <c r="B50" s="30" t="s">
        <v>126</v>
      </c>
      <c r="C50" s="30" t="s">
        <v>127</v>
      </c>
      <c r="D50" s="30" t="s">
        <v>15</v>
      </c>
      <c r="E50" s="31" t="s">
        <v>128</v>
      </c>
      <c r="F50" s="33" t="b">
        <f t="shared" ref="F50:G50" si="10">IF(F49=TRUE,TRUE,FALSE)</f>
        <v>0</v>
      </c>
      <c r="G50" s="33" t="b">
        <f t="shared" si="10"/>
        <v>0</v>
      </c>
      <c r="H50" s="34" t="str">
        <f>IF(G50=TRUE,H49,"")</f>
        <v/>
      </c>
      <c r="I50" s="34"/>
      <c r="J50" s="14"/>
    </row>
    <row r="51" hidden="1">
      <c r="A51" s="35" t="str">
        <f>HYPERLINK("https://github.com/pytorch/pytorch/blob/f99ab991dcd3719ee25dd3377a53ea12e518308e/test/complex_tensor/test_complex_tensor.py#L147", "TestComplexBwdGradients")</f>
        <v>TestComplexBwdGradients</v>
      </c>
      <c r="B51" s="25" t="s">
        <v>126</v>
      </c>
      <c r="C51" s="25" t="s">
        <v>129</v>
      </c>
      <c r="D51" s="25" t="s">
        <v>15</v>
      </c>
      <c r="E51" s="36" t="s">
        <v>128</v>
      </c>
      <c r="F51" s="37" t="b">
        <f t="shared" ref="F51:G51" si="11">IF(F49=TRUE,TRUE,FALSE)</f>
        <v>0</v>
      </c>
      <c r="G51" s="37" t="b">
        <f t="shared" si="11"/>
        <v>0</v>
      </c>
      <c r="H51" s="34" t="str">
        <f>IF(G51=TRUE,H49,"")</f>
        <v/>
      </c>
      <c r="I51" s="34"/>
      <c r="J51" s="14"/>
    </row>
    <row r="52" hidden="1">
      <c r="A52" s="29" t="str">
        <f>HYPERLINK("https://github.com/pytorch/pytorch/blob/f99ab991dcd3719ee25dd3377a53ea12e518308e/test/complex_tensor/utils.py#L81", "TestCase")</f>
        <v>TestCase</v>
      </c>
      <c r="B52" s="30" t="s">
        <v>130</v>
      </c>
      <c r="C52" s="30" t="s">
        <v>131</v>
      </c>
      <c r="D52" s="30" t="s">
        <v>64</v>
      </c>
      <c r="E52" s="31" t="s">
        <v>132</v>
      </c>
      <c r="F52" s="33" t="b">
        <f t="shared" ref="F52:G52" si="12">IF(F49=TRUE,TRUE,FALSE)</f>
        <v>0</v>
      </c>
      <c r="G52" s="33" t="b">
        <f t="shared" si="12"/>
        <v>0</v>
      </c>
      <c r="H52" s="34" t="str">
        <f>IF(G52=TRUE,H49,"")</f>
        <v/>
      </c>
      <c r="I52" s="34"/>
      <c r="J52" s="14"/>
    </row>
    <row r="53" hidden="1">
      <c r="A53" s="35" t="str">
        <f>HYPERLINK("https://github.com/pytorch/pytorch/blob/f99ab991dcd3719ee25dd3377a53ea12e518308e/test/test_complex.py#L17", "TestComplexTensor")</f>
        <v>TestComplexTensor</v>
      </c>
      <c r="B53" s="25" t="s">
        <v>133</v>
      </c>
      <c r="C53" s="25" t="s">
        <v>134</v>
      </c>
      <c r="D53" s="25" t="s">
        <v>15</v>
      </c>
      <c r="E53" s="36" t="s">
        <v>135</v>
      </c>
      <c r="F53" s="37" t="b">
        <f t="shared" ref="F53:G53" si="13">IF(F49=TRUE,TRUE,FALSE)</f>
        <v>0</v>
      </c>
      <c r="G53" s="37" t="b">
        <f t="shared" si="13"/>
        <v>0</v>
      </c>
      <c r="H53" s="42" t="s">
        <v>87</v>
      </c>
      <c r="I53" s="34"/>
      <c r="J53" s="14"/>
    </row>
    <row r="54" hidden="1">
      <c r="A54" s="15" t="s">
        <v>136</v>
      </c>
      <c r="B54" s="16"/>
      <c r="C54" s="16"/>
      <c r="D54" s="16"/>
      <c r="E54" s="17"/>
      <c r="F54" s="18" t="b">
        <v>1</v>
      </c>
      <c r="G54" s="18" t="b">
        <v>0</v>
      </c>
      <c r="H54" s="20"/>
      <c r="I54" s="20"/>
      <c r="J54" s="14"/>
    </row>
    <row r="55" hidden="1">
      <c r="A55" s="29" t="str">
        <f>HYPERLINK("https://github.com/pytorch/pytorch/blob/f99ab991dcd3719ee25dd3377a53ea12e518308e/test/test_weak.py#L21", "WeakTest")</f>
        <v>WeakTest</v>
      </c>
      <c r="B55" s="30" t="s">
        <v>137</v>
      </c>
      <c r="C55" s="30" t="s">
        <v>138</v>
      </c>
      <c r="D55" s="30" t="s">
        <v>64</v>
      </c>
      <c r="E55" s="31" t="s">
        <v>139</v>
      </c>
      <c r="F55" s="33" t="b">
        <f t="shared" ref="F55:G55" si="14">IF(F54=TRUE,TRUE,FALSE)</f>
        <v>1</v>
      </c>
      <c r="G55" s="33" t="b">
        <f t="shared" si="14"/>
        <v>0</v>
      </c>
      <c r="H55" s="34" t="str">
        <f>IF(G55=TRUE,H54,"")</f>
        <v/>
      </c>
      <c r="I55" s="34"/>
      <c r="J55" s="14"/>
    </row>
    <row r="56" hidden="1">
      <c r="A56" s="35" t="str">
        <f>HYPERLINK("https://github.com/pytorch/pytorch/blob/f99ab991dcd3719ee25dd3377a53ea12e518308e/test/test_weak.py#L241", "WeakKeyDictionaryTestCase")</f>
        <v>WeakKeyDictionaryTestCase</v>
      </c>
      <c r="B56" s="25" t="s">
        <v>137</v>
      </c>
      <c r="C56" s="25" t="s">
        <v>140</v>
      </c>
      <c r="D56" s="25" t="s">
        <v>64</v>
      </c>
      <c r="E56" s="36" t="s">
        <v>139</v>
      </c>
      <c r="F56" s="37" t="b">
        <f t="shared" ref="F56:G56" si="15">IF(F54=TRUE,TRUE,FALSE)</f>
        <v>1</v>
      </c>
      <c r="G56" s="37" t="b">
        <f t="shared" si="15"/>
        <v>0</v>
      </c>
      <c r="H56" s="34" t="str">
        <f>IF(G56=TRUE,H54,"")</f>
        <v/>
      </c>
      <c r="I56" s="34"/>
      <c r="J56" s="14"/>
    </row>
    <row r="57" hidden="1">
      <c r="A57" s="29" t="str">
        <f>HYPERLINK("https://github.com/pytorch/pytorch/blob/f99ab991dcd3719ee25dd3377a53ea12e518308e/test/test_weak.py#L563", "WeakKeyDictionaryScriptObjectTestCase")</f>
        <v>WeakKeyDictionaryScriptObjectTestCase</v>
      </c>
      <c r="B57" s="30" t="s">
        <v>137</v>
      </c>
      <c r="C57" s="30" t="s">
        <v>141</v>
      </c>
      <c r="D57" s="30" t="s">
        <v>64</v>
      </c>
      <c r="E57" s="31" t="s">
        <v>142</v>
      </c>
      <c r="F57" s="33" t="b">
        <v>0</v>
      </c>
      <c r="G57" s="33" t="b">
        <f>IF(G54=TRUE,TRUE,FALSE)</f>
        <v>0</v>
      </c>
      <c r="H57" s="34" t="str">
        <f>IF(G57=TRUE,H54,"")</f>
        <v/>
      </c>
      <c r="I57" s="34"/>
      <c r="J57" s="14"/>
    </row>
    <row r="58" hidden="1">
      <c r="A58" s="9" t="s">
        <v>143</v>
      </c>
      <c r="B58" s="10"/>
      <c r="C58" s="10"/>
      <c r="D58" s="10"/>
      <c r="E58" s="11"/>
      <c r="F58" s="12"/>
      <c r="G58" s="12"/>
      <c r="H58" s="12"/>
      <c r="I58" s="12"/>
      <c r="J58" s="14"/>
    </row>
    <row r="59" hidden="1">
      <c r="A59" s="15" t="s">
        <v>144</v>
      </c>
      <c r="B59" s="16"/>
      <c r="C59" s="16"/>
      <c r="D59" s="16"/>
      <c r="E59" s="17"/>
      <c r="F59" s="18" t="b">
        <v>1</v>
      </c>
      <c r="G59" s="18" t="b">
        <v>0</v>
      </c>
      <c r="H59" s="20"/>
      <c r="I59" s="20"/>
      <c r="J59" s="14"/>
    </row>
    <row r="60">
      <c r="A60" s="21" t="str">
        <f>HYPERLINK("https://github.com/pytorch/pytorch/blob/f99ab991dcd3719ee25dd3377a53ea12e518308e/test/test_autograd.py#L115", "TestAutograd")</f>
        <v>TestAutograd</v>
      </c>
      <c r="B60" s="22" t="s">
        <v>145</v>
      </c>
      <c r="C60" s="22" t="s">
        <v>146</v>
      </c>
      <c r="D60" s="22" t="s">
        <v>112</v>
      </c>
      <c r="E60" s="23" t="s">
        <v>147</v>
      </c>
      <c r="F60" s="24" t="b">
        <f>IF(F59=TRUE,TRUE,FALSE)</f>
        <v>1</v>
      </c>
      <c r="G60" s="24" t="b">
        <v>1</v>
      </c>
      <c r="H60" s="37" t="s">
        <v>114</v>
      </c>
      <c r="I60" s="26" t="s">
        <v>45</v>
      </c>
      <c r="J60" s="27" t="s">
        <v>148</v>
      </c>
    </row>
    <row r="61" hidden="1">
      <c r="A61" s="29" t="str">
        <f>HYPERLINK("https://github.com/pytorch/pytorch/blob/f99ab991dcd3719ee25dd3377a53ea12e518308e/test/test_autograd.py#L11133", "TestAutogradForwardModeBatchedGrad")</f>
        <v>TestAutogradForwardModeBatchedGrad</v>
      </c>
      <c r="B61" s="30" t="s">
        <v>145</v>
      </c>
      <c r="C61" s="30" t="s">
        <v>149</v>
      </c>
      <c r="D61" s="30" t="s">
        <v>64</v>
      </c>
      <c r="E61" s="31" t="s">
        <v>150</v>
      </c>
      <c r="F61" s="33" t="b">
        <f t="shared" ref="F61:G61" si="16">IF(F59=TRUE,TRUE,FALSE)</f>
        <v>1</v>
      </c>
      <c r="G61" s="33" t="b">
        <f t="shared" si="16"/>
        <v>0</v>
      </c>
      <c r="H61" s="34" t="str">
        <f>IF(G61=TRUE,H59,"")</f>
        <v/>
      </c>
      <c r="I61" s="34"/>
      <c r="J61" s="14"/>
    </row>
    <row r="62" hidden="1">
      <c r="A62" s="35" t="str">
        <f>HYPERLINK("https://github.com/pytorch/pytorch/blob/f99ab991dcd3719ee25dd3377a53ea12e518308e/test/test_autograd.py#L11242", "TestAutogradForwardMode")</f>
        <v>TestAutogradForwardMode</v>
      </c>
      <c r="B62" s="25" t="s">
        <v>145</v>
      </c>
      <c r="C62" s="25" t="s">
        <v>151</v>
      </c>
      <c r="D62" s="25" t="s">
        <v>64</v>
      </c>
      <c r="E62" s="36" t="s">
        <v>150</v>
      </c>
      <c r="F62" s="37" t="b">
        <f t="shared" ref="F62:G62" si="17">IF(F59=TRUE,TRUE,FALSE)</f>
        <v>1</v>
      </c>
      <c r="G62" s="37" t="b">
        <f t="shared" si="17"/>
        <v>0</v>
      </c>
      <c r="H62" s="34" t="str">
        <f>IF(G62=TRUE,H59,"")</f>
        <v/>
      </c>
      <c r="I62" s="34"/>
      <c r="J62" s="14"/>
    </row>
    <row r="63">
      <c r="A63" s="21" t="str">
        <f>HYPERLINK("https://github.com/pytorch/pytorch/blob/f99ab991dcd3719ee25dd3377a53ea12e518308e/test/test_autograd.py#L11942", "TestAutogradDeviceType")</f>
        <v>TestAutogradDeviceType</v>
      </c>
      <c r="B63" s="22" t="s">
        <v>145</v>
      </c>
      <c r="C63" s="22" t="s">
        <v>152</v>
      </c>
      <c r="D63" s="22" t="s">
        <v>153</v>
      </c>
      <c r="E63" s="23" t="s">
        <v>154</v>
      </c>
      <c r="F63" s="24" t="b">
        <f>IF(F59=TRUE,TRUE,FALSE)</f>
        <v>1</v>
      </c>
      <c r="G63" s="24" t="b">
        <v>1</v>
      </c>
      <c r="H63" s="37" t="s">
        <v>114</v>
      </c>
      <c r="I63" s="26" t="s">
        <v>45</v>
      </c>
      <c r="J63" s="27" t="s">
        <v>148</v>
      </c>
    </row>
    <row r="64" hidden="1">
      <c r="A64" s="35" t="str">
        <f>HYPERLINK("https://github.com/pytorch/pytorch/blob/f99ab991dcd3719ee25dd3377a53ea12e518308e/test/test_autograd.py#L12961", "TestAllowMutationOnSaved")</f>
        <v>TestAllowMutationOnSaved</v>
      </c>
      <c r="B64" s="25" t="s">
        <v>145</v>
      </c>
      <c r="C64" s="25" t="s">
        <v>155</v>
      </c>
      <c r="D64" s="25" t="s">
        <v>64</v>
      </c>
      <c r="E64" s="36" t="s">
        <v>150</v>
      </c>
      <c r="F64" s="37" t="b">
        <f t="shared" ref="F64:G64" si="18">IF(F59=TRUE,TRUE,FALSE)</f>
        <v>1</v>
      </c>
      <c r="G64" s="37" t="b">
        <f t="shared" si="18"/>
        <v>0</v>
      </c>
      <c r="H64" s="34" t="str">
        <f>IF(G64=TRUE,H59,"")</f>
        <v/>
      </c>
      <c r="I64" s="34"/>
      <c r="J64" s="14"/>
    </row>
    <row r="65" hidden="1">
      <c r="A65" s="29" t="str">
        <f>HYPERLINK("https://github.com/pytorch/pytorch/blob/f99ab991dcd3719ee25dd3377a53ea12e518308e/test/test_autograd.py#L13158", "TestAutogradInferenceMode")</f>
        <v>TestAutogradInferenceMode</v>
      </c>
      <c r="B65" s="30" t="s">
        <v>145</v>
      </c>
      <c r="C65" s="30" t="s">
        <v>156</v>
      </c>
      <c r="D65" s="30" t="s">
        <v>64</v>
      </c>
      <c r="E65" s="31" t="s">
        <v>157</v>
      </c>
      <c r="F65" s="33" t="b">
        <f t="shared" ref="F65:G65" si="19">IF(F59=TRUE,TRUE,FALSE)</f>
        <v>1</v>
      </c>
      <c r="G65" s="33" t="b">
        <f t="shared" si="19"/>
        <v>0</v>
      </c>
      <c r="H65" s="34" t="str">
        <f>IF(G65=TRUE,H59,"")</f>
        <v/>
      </c>
      <c r="I65" s="34"/>
      <c r="J65" s="14"/>
    </row>
    <row r="66">
      <c r="A66" s="21" t="str">
        <f>HYPERLINK("https://github.com/pytorch/pytorch/blob/f99ab991dcd3719ee25dd3377a53ea12e518308e/test/test_autograd.py#L13581", "TestAutogradStreamSynchronization")</f>
        <v>TestAutogradStreamSynchronization</v>
      </c>
      <c r="B66" s="22" t="s">
        <v>145</v>
      </c>
      <c r="C66" s="22" t="s">
        <v>158</v>
      </c>
      <c r="D66" s="22" t="s">
        <v>159</v>
      </c>
      <c r="E66" s="23" t="s">
        <v>160</v>
      </c>
      <c r="F66" s="24" t="b">
        <f>IF(F59=TRUE,TRUE,FALSE)</f>
        <v>1</v>
      </c>
      <c r="G66" s="24" t="b">
        <v>1</v>
      </c>
      <c r="H66" s="37" t="s">
        <v>114</v>
      </c>
      <c r="I66" s="26" t="s">
        <v>45</v>
      </c>
      <c r="J66" s="27" t="s">
        <v>148</v>
      </c>
    </row>
    <row r="67">
      <c r="A67" s="21" t="str">
        <f>HYPERLINK("https://github.com/pytorch/pytorch/blob/f99ab991dcd3719ee25dd3377a53ea12e518308e/test/test_autograd.py#L14054", "TestMultithreadAutograd")</f>
        <v>TestMultithreadAutograd</v>
      </c>
      <c r="B67" s="22" t="s">
        <v>145</v>
      </c>
      <c r="C67" s="22" t="s">
        <v>161</v>
      </c>
      <c r="D67" s="22" t="s">
        <v>112</v>
      </c>
      <c r="E67" s="23" t="s">
        <v>162</v>
      </c>
      <c r="F67" s="24" t="b">
        <f>IF(F59=TRUE,TRUE,FALSE)</f>
        <v>1</v>
      </c>
      <c r="G67" s="24" t="b">
        <v>1</v>
      </c>
      <c r="H67" s="37" t="s">
        <v>114</v>
      </c>
      <c r="I67" s="26" t="s">
        <v>45</v>
      </c>
      <c r="J67" s="27" t="s">
        <v>148</v>
      </c>
    </row>
    <row r="68" hidden="1">
      <c r="A68" s="35" t="str">
        <f>HYPERLINK("https://github.com/pytorch/pytorch/blob/f99ab991dcd3719ee25dd3377a53ea12e518308e/test/test_autograd.py#L14481", "TestNestedCheckpoint")</f>
        <v>TestNestedCheckpoint</v>
      </c>
      <c r="B68" s="25" t="s">
        <v>145</v>
      </c>
      <c r="C68" s="25" t="s">
        <v>163</v>
      </c>
      <c r="D68" s="25" t="s">
        <v>64</v>
      </c>
      <c r="E68" s="36" t="s">
        <v>164</v>
      </c>
      <c r="F68" s="37" t="b">
        <f t="shared" ref="F68:G68" si="20">IF(F59=TRUE,TRUE,FALSE)</f>
        <v>1</v>
      </c>
      <c r="G68" s="37" t="b">
        <f t="shared" si="20"/>
        <v>0</v>
      </c>
      <c r="H68" s="34" t="str">
        <f>IF(G68=TRUE,H59,"")</f>
        <v/>
      </c>
      <c r="I68" s="34"/>
      <c r="J68" s="14"/>
    </row>
    <row r="69">
      <c r="A69" s="21" t="str">
        <f>HYPERLINK("https://github.com/pytorch/pytorch/blob/f99ab991dcd3719ee25dd3377a53ea12e518308e/test/test_autograd.py#L14846", "TestSelectiveActivationCheckpoint")</f>
        <v>TestSelectiveActivationCheckpoint</v>
      </c>
      <c r="B69" s="22" t="s">
        <v>145</v>
      </c>
      <c r="C69" s="22" t="s">
        <v>165</v>
      </c>
      <c r="D69" s="22" t="s">
        <v>112</v>
      </c>
      <c r="E69" s="23" t="s">
        <v>166</v>
      </c>
      <c r="F69" s="24" t="b">
        <f>IF(F59=TRUE,TRUE,FALSE)</f>
        <v>1</v>
      </c>
      <c r="G69" s="24" t="b">
        <v>1</v>
      </c>
      <c r="H69" s="37" t="s">
        <v>114</v>
      </c>
      <c r="I69" s="26" t="s">
        <v>45</v>
      </c>
      <c r="J69" s="27" t="s">
        <v>148</v>
      </c>
    </row>
    <row r="70">
      <c r="A70" s="21" t="str">
        <f>HYPERLINK("https://github.com/pytorch/pytorch/blob/f99ab991dcd3719ee25dd3377a53ea12e518308e/test/test_autograd.py#L15266", "TestAutogradMultipleDispatch")</f>
        <v>TestAutogradMultipleDispatch</v>
      </c>
      <c r="B70" s="22" t="s">
        <v>145</v>
      </c>
      <c r="C70" s="22" t="s">
        <v>167</v>
      </c>
      <c r="D70" s="22" t="s">
        <v>26</v>
      </c>
      <c r="E70" s="23" t="s">
        <v>168</v>
      </c>
      <c r="F70" s="24" t="b">
        <f>IF(F59=TRUE,TRUE,FALSE)</f>
        <v>1</v>
      </c>
      <c r="G70" s="24" t="b">
        <v>1</v>
      </c>
      <c r="H70" s="37" t="s">
        <v>169</v>
      </c>
      <c r="I70" s="26" t="s">
        <v>45</v>
      </c>
      <c r="J70" s="27" t="s">
        <v>148</v>
      </c>
    </row>
    <row r="71" hidden="1">
      <c r="A71" s="29" t="str">
        <f>HYPERLINK("https://github.com/pytorch/pytorch/blob/f99ab991dcd3719ee25dd3377a53ea12e518308e/test/test_autograd_fallback.py#L28", "TestAutogradFallback")</f>
        <v>TestAutogradFallback</v>
      </c>
      <c r="B71" s="30" t="s">
        <v>170</v>
      </c>
      <c r="C71" s="30" t="s">
        <v>171</v>
      </c>
      <c r="D71" s="30" t="s">
        <v>172</v>
      </c>
      <c r="E71" s="31" t="s">
        <v>173</v>
      </c>
      <c r="F71" s="33" t="b">
        <f t="shared" ref="F71:G71" si="21">IF(F59=TRUE,TRUE,FALSE)</f>
        <v>1</v>
      </c>
      <c r="G71" s="33" t="b">
        <f t="shared" si="21"/>
        <v>0</v>
      </c>
      <c r="H71" s="34" t="str">
        <f>IF(G71=TRUE,H59,"")</f>
        <v/>
      </c>
      <c r="I71" s="34"/>
      <c r="J71" s="14"/>
    </row>
    <row r="72" hidden="1">
      <c r="A72" s="35" t="str">
        <f>HYPERLINK("https://github.com/pytorch/pytorch/blob/f99ab991dcd3719ee25dd3377a53ea12e518308e/test/test_functional_autograd_benchmark.py#L20", "TestFunctionalAutogradBenchmark")</f>
        <v>TestFunctionalAutogradBenchmark</v>
      </c>
      <c r="B72" s="25" t="s">
        <v>174</v>
      </c>
      <c r="C72" s="25" t="s">
        <v>175</v>
      </c>
      <c r="D72" s="25" t="s">
        <v>64</v>
      </c>
      <c r="E72" s="36" t="s">
        <v>176</v>
      </c>
      <c r="F72" s="37" t="b">
        <f t="shared" ref="F72:G72" si="22">IF(F59=TRUE,TRUE,FALSE)</f>
        <v>1</v>
      </c>
      <c r="G72" s="37" t="b">
        <f t="shared" si="22"/>
        <v>0</v>
      </c>
      <c r="H72" s="34" t="str">
        <f>IF(G72=TRUE,H59,"")</f>
        <v/>
      </c>
      <c r="I72" s="34"/>
      <c r="J72" s="14"/>
    </row>
    <row r="73" hidden="1">
      <c r="A73" s="15" t="s">
        <v>177</v>
      </c>
      <c r="B73" s="16"/>
      <c r="C73" s="16"/>
      <c r="D73" s="16"/>
      <c r="E73" s="17"/>
      <c r="F73" s="18" t="b">
        <v>1</v>
      </c>
      <c r="G73" s="18" t="b">
        <v>0</v>
      </c>
      <c r="H73" s="20"/>
      <c r="I73" s="20"/>
      <c r="J73" s="14"/>
    </row>
    <row r="74" hidden="1">
      <c r="A74" s="29" t="str">
        <f>HYPERLINK("https://github.com/pytorch/pytorch/blob/f99ab991dcd3719ee25dd3377a53ea12e518308e/test/autograd/test_complex.py#L7", "TestAutogradComplex")</f>
        <v>TestAutogradComplex</v>
      </c>
      <c r="B74" s="30" t="s">
        <v>178</v>
      </c>
      <c r="C74" s="30" t="s">
        <v>179</v>
      </c>
      <c r="D74" s="30" t="s">
        <v>64</v>
      </c>
      <c r="E74" s="31" t="s">
        <v>164</v>
      </c>
      <c r="F74" s="33" t="b">
        <f t="shared" ref="F74:G74" si="23">IF(F73=TRUE,TRUE,FALSE)</f>
        <v>1</v>
      </c>
      <c r="G74" s="33" t="b">
        <f t="shared" si="23"/>
        <v>0</v>
      </c>
      <c r="H74" s="34" t="str">
        <f>IF(G74=TRUE,H73,"")</f>
        <v/>
      </c>
      <c r="I74" s="34"/>
      <c r="J74" s="14"/>
    </row>
    <row r="75">
      <c r="A75" s="21" t="str">
        <f>HYPERLINK("https://github.com/pytorch/pytorch/blob/f99ab991dcd3719ee25dd3377a53ea12e518308e/test/autograd/test_functional.py#L99", "TestAutogradFunctional")</f>
        <v>TestAutogradFunctional</v>
      </c>
      <c r="B75" s="22" t="s">
        <v>180</v>
      </c>
      <c r="C75" s="22" t="s">
        <v>181</v>
      </c>
      <c r="D75" s="22" t="s">
        <v>112</v>
      </c>
      <c r="E75" s="23" t="s">
        <v>182</v>
      </c>
      <c r="F75" s="24" t="b">
        <f>IF(F73=TRUE,TRUE,FALSE)</f>
        <v>1</v>
      </c>
      <c r="G75" s="24" t="b">
        <v>1</v>
      </c>
      <c r="H75" s="37" t="s">
        <v>87</v>
      </c>
      <c r="I75" s="26" t="s">
        <v>59</v>
      </c>
      <c r="J75" s="27" t="s">
        <v>183</v>
      </c>
    </row>
    <row r="76" hidden="1">
      <c r="A76" s="29" t="str">
        <f>HYPERLINK("https://github.com/pytorch/pytorch/blob/f99ab991dcd3719ee25dd3377a53ea12e518308e/test/autograd/test_logging.py#L9", "TestAutogradLogging")</f>
        <v>TestAutogradLogging</v>
      </c>
      <c r="B76" s="30" t="s">
        <v>184</v>
      </c>
      <c r="C76" s="30" t="s">
        <v>185</v>
      </c>
      <c r="D76" s="30" t="s">
        <v>64</v>
      </c>
      <c r="E76" s="31" t="s">
        <v>150</v>
      </c>
      <c r="F76" s="33" t="b">
        <f t="shared" ref="F76:G76" si="24">IF(F73=TRUE,TRUE,FALSE)</f>
        <v>1</v>
      </c>
      <c r="G76" s="33" t="b">
        <f t="shared" si="24"/>
        <v>0</v>
      </c>
      <c r="H76" s="34" t="str">
        <f>IF(G76=TRUE,H73,"")</f>
        <v/>
      </c>
      <c r="I76" s="34"/>
      <c r="J76" s="14"/>
    </row>
    <row r="77" hidden="1">
      <c r="A77" s="9" t="s">
        <v>186</v>
      </c>
      <c r="B77" s="10"/>
      <c r="C77" s="10"/>
      <c r="D77" s="10"/>
      <c r="E77" s="11"/>
      <c r="F77" s="12"/>
      <c r="G77" s="12"/>
      <c r="H77" s="12"/>
      <c r="I77" s="12"/>
      <c r="J77" s="14"/>
    </row>
    <row r="78" hidden="1">
      <c r="A78" s="15" t="s">
        <v>187</v>
      </c>
      <c r="B78" s="16"/>
      <c r="C78" s="16"/>
      <c r="D78" s="16"/>
      <c r="E78" s="17"/>
      <c r="F78" s="18" t="b">
        <v>1</v>
      </c>
      <c r="G78" s="18" t="b">
        <v>0</v>
      </c>
      <c r="H78" s="20"/>
      <c r="I78" s="20"/>
      <c r="J78" s="14"/>
    </row>
    <row r="79" hidden="1">
      <c r="A79" s="35" t="str">
        <f>HYPERLINK("https://github.com/pytorch/pytorch/blob/f99ab991dcd3719ee25dd3377a53ea12e518308e/test/test_modules.py#L31", "TestModule")</f>
        <v>TestModule</v>
      </c>
      <c r="B79" s="25" t="s">
        <v>188</v>
      </c>
      <c r="C79" s="25" t="s">
        <v>189</v>
      </c>
      <c r="D79" s="25" t="s">
        <v>15</v>
      </c>
      <c r="E79" s="36" t="s">
        <v>190</v>
      </c>
      <c r="F79" s="37" t="b">
        <f t="shared" ref="F79:G79" si="25">IF(F78=TRUE,TRUE,FALSE)</f>
        <v>1</v>
      </c>
      <c r="G79" s="37" t="b">
        <f t="shared" si="25"/>
        <v>0</v>
      </c>
      <c r="H79" s="34" t="str">
        <f>IF(G79=TRUE,H78,"")</f>
        <v/>
      </c>
      <c r="I79" s="34"/>
      <c r="J79" s="14"/>
    </row>
    <row r="80">
      <c r="A80" s="21" t="str">
        <f>HYPERLINK("https://github.com/pytorch/pytorch/blob/f99ab991dcd3719ee25dd3377a53ea12e518308e/test/test_nn.py#L83", "TestNN")</f>
        <v>TestNN</v>
      </c>
      <c r="B80" s="22" t="s">
        <v>191</v>
      </c>
      <c r="C80" s="22" t="s">
        <v>192</v>
      </c>
      <c r="D80" s="22" t="s">
        <v>112</v>
      </c>
      <c r="E80" s="23" t="s">
        <v>193</v>
      </c>
      <c r="F80" s="24" t="b">
        <f>IF(F78=TRUE,TRUE,FALSE)</f>
        <v>1</v>
      </c>
      <c r="G80" s="24" t="b">
        <v>1</v>
      </c>
      <c r="H80" s="37" t="s">
        <v>114</v>
      </c>
      <c r="I80" s="37" t="s">
        <v>104</v>
      </c>
      <c r="J80" s="14"/>
    </row>
    <row r="81" hidden="1">
      <c r="A81" s="35" t="str">
        <f>HYPERLINK("https://github.com/pytorch/pytorch/blob/f99ab991dcd3719ee25dd3377a53ea12e518308e/test/test_nn.py#L7643", "TestFusionEval")</f>
        <v>TestFusionEval</v>
      </c>
      <c r="B81" s="25" t="s">
        <v>191</v>
      </c>
      <c r="C81" s="25" t="s">
        <v>194</v>
      </c>
      <c r="D81" s="25" t="s">
        <v>64</v>
      </c>
      <c r="E81" s="36" t="s">
        <v>195</v>
      </c>
      <c r="F81" s="37" t="b">
        <f t="shared" ref="F81:G81" si="26">IF(F78=TRUE,TRUE,FALSE)</f>
        <v>1</v>
      </c>
      <c r="G81" s="37" t="b">
        <f t="shared" si="26"/>
        <v>0</v>
      </c>
      <c r="H81" s="34" t="str">
        <f>IF(G81=TRUE,H78,"")</f>
        <v/>
      </c>
      <c r="I81" s="34"/>
      <c r="J81" s="14"/>
    </row>
    <row r="82" hidden="1">
      <c r="A82" s="29" t="str">
        <f>HYPERLINK("https://github.com/pytorch/pytorch/blob/f99ab991dcd3719ee25dd3377a53ea12e518308e/test/test_nn.py#L7683", "TestConstantPadNd")</f>
        <v>TestConstantPadNd</v>
      </c>
      <c r="B82" s="30" t="s">
        <v>191</v>
      </c>
      <c r="C82" s="30" t="s">
        <v>196</v>
      </c>
      <c r="D82" s="30" t="s">
        <v>64</v>
      </c>
      <c r="E82" s="31" t="s">
        <v>197</v>
      </c>
      <c r="F82" s="33" t="b">
        <f t="shared" ref="F82:G82" si="27">IF(F78=TRUE,TRUE,FALSE)</f>
        <v>1</v>
      </c>
      <c r="G82" s="33" t="b">
        <f t="shared" si="27"/>
        <v>0</v>
      </c>
      <c r="H82" s="34" t="str">
        <f>IF(G82=TRUE,H78,"")</f>
        <v/>
      </c>
      <c r="I82" s="34"/>
      <c r="J82" s="14"/>
    </row>
    <row r="83" hidden="1">
      <c r="A83" s="35" t="str">
        <f>HYPERLINK("https://github.com/pytorch/pytorch/blob/f99ab991dcd3719ee25dd3377a53ea12e518308e/test/test_nn.py#L7704", "TestAddRelu")</f>
        <v>TestAddRelu</v>
      </c>
      <c r="B83" s="25" t="s">
        <v>191</v>
      </c>
      <c r="C83" s="25" t="s">
        <v>198</v>
      </c>
      <c r="D83" s="25" t="s">
        <v>64</v>
      </c>
      <c r="E83" s="36" t="s">
        <v>199</v>
      </c>
      <c r="F83" s="37" t="b">
        <f t="shared" ref="F83:G83" si="28">IF(F78=TRUE,TRUE,FALSE)</f>
        <v>1</v>
      </c>
      <c r="G83" s="37" t="b">
        <f t="shared" si="28"/>
        <v>0</v>
      </c>
      <c r="H83" s="34" t="str">
        <f>IF(G83=TRUE,H78,"")</f>
        <v/>
      </c>
      <c r="I83" s="34"/>
      <c r="J83" s="14"/>
    </row>
    <row r="84" hidden="1">
      <c r="A84" s="29" t="str">
        <f>HYPERLINK("https://github.com/pytorch/pytorch/blob/f99ab991dcd3719ee25dd3377a53ea12e518308e/test/test_nn.py#L8157", "TestNNDeviceType")</f>
        <v>TestNNDeviceType</v>
      </c>
      <c r="B84" s="30" t="s">
        <v>191</v>
      </c>
      <c r="C84" s="30" t="s">
        <v>200</v>
      </c>
      <c r="D84" s="30" t="s">
        <v>15</v>
      </c>
      <c r="E84" s="31" t="s">
        <v>201</v>
      </c>
      <c r="F84" s="33" t="b">
        <f t="shared" ref="F84:G84" si="29">IF(F78=TRUE,TRUE,FALSE)</f>
        <v>1</v>
      </c>
      <c r="G84" s="33" t="b">
        <f t="shared" si="29"/>
        <v>0</v>
      </c>
      <c r="H84" s="34" t="str">
        <f>IF(G84=TRUE,H78,"")</f>
        <v/>
      </c>
      <c r="I84" s="34"/>
      <c r="J84" s="14"/>
    </row>
    <row r="85" hidden="1">
      <c r="A85" s="35" t="str">
        <f>HYPERLINK("https://github.com/pytorch/pytorch/blob/f99ab991dcd3719ee25dd3377a53ea12e518308e/test/test_nn.py#L14119", "TestFunctionalPickle")</f>
        <v>TestFunctionalPickle</v>
      </c>
      <c r="B85" s="25" t="s">
        <v>191</v>
      </c>
      <c r="C85" s="25" t="s">
        <v>202</v>
      </c>
      <c r="D85" s="25" t="s">
        <v>64</v>
      </c>
      <c r="E85" s="36" t="s">
        <v>203</v>
      </c>
      <c r="F85" s="43" t="b">
        <v>1</v>
      </c>
      <c r="G85" s="37" t="b">
        <f>IF(G78=TRUE,TRUE,FALSE)</f>
        <v>0</v>
      </c>
      <c r="H85" s="34" t="str">
        <f>IF(G85=TRUE,H78,"")</f>
        <v/>
      </c>
      <c r="I85" s="34"/>
      <c r="J85" s="14"/>
    </row>
    <row r="86" hidden="1">
      <c r="A86" s="29" t="str">
        <f>HYPERLINK("https://github.com/pytorch/pytorch/blob/f99ab991dcd3719ee25dd3377a53ea12e518308e/test/test_nn.py#L14127", "TestFusionUtils")</f>
        <v>TestFusionUtils</v>
      </c>
      <c r="B86" s="30" t="s">
        <v>191</v>
      </c>
      <c r="C86" s="30" t="s">
        <v>204</v>
      </c>
      <c r="D86" s="30" t="s">
        <v>64</v>
      </c>
      <c r="E86" s="31" t="s">
        <v>205</v>
      </c>
      <c r="F86" s="32" t="b">
        <v>0</v>
      </c>
      <c r="G86" s="33" t="b">
        <f>IF(G78=TRUE,TRUE,FALSE)</f>
        <v>0</v>
      </c>
      <c r="H86" s="34" t="str">
        <f>IF(G86=TRUE,H78,"")</f>
        <v/>
      </c>
      <c r="I86" s="34"/>
      <c r="J86" s="14"/>
    </row>
    <row r="87" hidden="1">
      <c r="A87" s="35" t="str">
        <f>HYPERLINK("https://github.com/pytorch/pytorch/blob/f99ab991dcd3719ee25dd3377a53ea12e518308e/test/test_nn.py#L14154", "TestUtils")</f>
        <v>TestUtils</v>
      </c>
      <c r="B87" s="25" t="s">
        <v>191</v>
      </c>
      <c r="C87" s="25" t="s">
        <v>206</v>
      </c>
      <c r="D87" s="25" t="s">
        <v>64</v>
      </c>
      <c r="E87" s="36" t="s">
        <v>205</v>
      </c>
      <c r="F87" s="37" t="b">
        <f t="shared" ref="F87:G87" si="30">IF(F78=TRUE,TRUE,FALSE)</f>
        <v>1</v>
      </c>
      <c r="G87" s="37" t="b">
        <f t="shared" si="30"/>
        <v>0</v>
      </c>
      <c r="H87" s="34" t="str">
        <f>IF(G87=TRUE,H78,"")</f>
        <v/>
      </c>
      <c r="I87" s="34"/>
      <c r="J87" s="14"/>
    </row>
    <row r="88" hidden="1">
      <c r="A88" s="15" t="s">
        <v>207</v>
      </c>
      <c r="B88" s="16"/>
      <c r="C88" s="16"/>
      <c r="D88" s="16"/>
      <c r="E88" s="17"/>
      <c r="F88" s="18" t="b">
        <v>1</v>
      </c>
      <c r="G88" s="18" t="b">
        <v>0</v>
      </c>
      <c r="H88" s="18" t="s">
        <v>87</v>
      </c>
      <c r="I88" s="20"/>
      <c r="J88" s="14"/>
    </row>
    <row r="89" hidden="1">
      <c r="A89" s="29" t="str">
        <f>HYPERLINK("https://github.com/pytorch/pytorch/blob/f99ab991dcd3719ee25dd3377a53ea12e518308e/test/test_expanded_weights.py#L48", "TestExpandedWeightHelperFunction")</f>
        <v>TestExpandedWeightHelperFunction</v>
      </c>
      <c r="B89" s="30" t="s">
        <v>208</v>
      </c>
      <c r="C89" s="30" t="s">
        <v>209</v>
      </c>
      <c r="D89" s="30" t="s">
        <v>15</v>
      </c>
      <c r="E89" s="31" t="s">
        <v>24</v>
      </c>
      <c r="F89" s="32" t="b">
        <v>0</v>
      </c>
      <c r="G89" s="33" t="b">
        <f>IF(G88=TRUE,TRUE,FALSE)</f>
        <v>0</v>
      </c>
      <c r="H89" s="42" t="s">
        <v>87</v>
      </c>
      <c r="I89" s="34"/>
      <c r="J89" s="14"/>
    </row>
    <row r="90" hidden="1">
      <c r="A90" s="35" t="str">
        <f>HYPERLINK("https://github.com/pytorch/pytorch/blob/f99ab991dcd3719ee25dd3377a53ea12e518308e/test/test_expanded_weights.py#L227", "TestExpandedWeightFunctional")</f>
        <v>TestExpandedWeightFunctional</v>
      </c>
      <c r="B90" s="25" t="s">
        <v>208</v>
      </c>
      <c r="C90" s="25" t="s">
        <v>210</v>
      </c>
      <c r="D90" s="25" t="s">
        <v>15</v>
      </c>
      <c r="E90" s="36" t="s">
        <v>128</v>
      </c>
      <c r="F90" s="43" t="b">
        <v>0</v>
      </c>
      <c r="G90" s="37" t="b">
        <f>IF(G88=TRUE,TRUE,FALSE)</f>
        <v>0</v>
      </c>
      <c r="H90" s="42" t="s">
        <v>87</v>
      </c>
      <c r="I90" s="34"/>
      <c r="J90" s="14"/>
    </row>
    <row r="91" hidden="1">
      <c r="A91" s="29" t="str">
        <f>HYPERLINK("https://github.com/pytorch/pytorch/blob/f99ab991dcd3719ee25dd3377a53ea12e518308e/test/test_expanded_weights.py#L623", "TestExpandedWeightModule")</f>
        <v>TestExpandedWeightModule</v>
      </c>
      <c r="B91" s="30" t="s">
        <v>208</v>
      </c>
      <c r="C91" s="30" t="s">
        <v>211</v>
      </c>
      <c r="D91" s="30" t="s">
        <v>15</v>
      </c>
      <c r="E91" s="31" t="s">
        <v>212</v>
      </c>
      <c r="F91" s="32" t="b">
        <v>0</v>
      </c>
      <c r="G91" s="33" t="b">
        <f>IF(G88=TRUE,TRUE,FALSE)</f>
        <v>0</v>
      </c>
      <c r="H91" s="42" t="s">
        <v>87</v>
      </c>
      <c r="I91" s="34"/>
      <c r="J91" s="14"/>
    </row>
    <row r="92">
      <c r="A92" s="21" t="str">
        <f>HYPERLINK("https://github.com/pytorch/pytorch/blob/f99ab991dcd3719ee25dd3377a53ea12e518308e/test/test_expanded_weights.py#L962", "ContextManagerTests")</f>
        <v>ContextManagerTests</v>
      </c>
      <c r="B92" s="22" t="s">
        <v>208</v>
      </c>
      <c r="C92" s="22" t="s">
        <v>213</v>
      </c>
      <c r="D92" s="22" t="s">
        <v>112</v>
      </c>
      <c r="E92" s="23" t="s">
        <v>214</v>
      </c>
      <c r="F92" s="24" t="b">
        <f>IF(F88=TRUE,TRUE,FALSE)</f>
        <v>1</v>
      </c>
      <c r="G92" s="24" t="b">
        <v>1</v>
      </c>
      <c r="H92" s="37" t="s">
        <v>87</v>
      </c>
      <c r="I92" s="26" t="s">
        <v>45</v>
      </c>
      <c r="J92" s="28" t="s">
        <v>215</v>
      </c>
    </row>
    <row r="93">
      <c r="A93" s="21" t="str">
        <f>HYPERLINK("https://github.com/pytorch/pytorch/blob/f99ab991dcd3719ee25dd3377a53ea12e518308e/test/test_stateless.py#L40", "TestStatelessFunctionalAPI")</f>
        <v>TestStatelessFunctionalAPI</v>
      </c>
      <c r="B93" s="22" t="s">
        <v>216</v>
      </c>
      <c r="C93" s="22" t="s">
        <v>217</v>
      </c>
      <c r="D93" s="22" t="s">
        <v>112</v>
      </c>
      <c r="E93" s="23" t="s">
        <v>218</v>
      </c>
      <c r="F93" s="24" t="b">
        <f>IF(F88=TRUE,TRUE,FALSE)</f>
        <v>1</v>
      </c>
      <c r="G93" s="24" t="b">
        <v>1</v>
      </c>
      <c r="H93" s="37" t="str">
        <f>IF(G93=TRUE,H88,"")</f>
        <v>Low</v>
      </c>
      <c r="I93" s="26" t="s">
        <v>45</v>
      </c>
      <c r="J93" s="27" t="s">
        <v>219</v>
      </c>
    </row>
    <row r="94" hidden="1">
      <c r="A94" s="35" t="str">
        <f>HYPERLINK("https://github.com/pytorch/pytorch/blob/f99ab991dcd3719ee25dd3377a53ea12e518308e/test/test_stateless.py#L878", "TestStatelessDeprecation")</f>
        <v>TestStatelessDeprecation</v>
      </c>
      <c r="B94" s="25" t="s">
        <v>216</v>
      </c>
      <c r="C94" s="25" t="s">
        <v>220</v>
      </c>
      <c r="D94" s="25" t="s">
        <v>64</v>
      </c>
      <c r="E94" s="36" t="s">
        <v>221</v>
      </c>
      <c r="F94" s="37" t="b">
        <f t="shared" ref="F94:G94" si="31">IF(F88=TRUE,TRUE,FALSE)</f>
        <v>1</v>
      </c>
      <c r="G94" s="37" t="b">
        <f t="shared" si="31"/>
        <v>0</v>
      </c>
      <c r="H94" s="34" t="str">
        <f>IF(G94=TRUE,H88,"")</f>
        <v/>
      </c>
      <c r="I94" s="34"/>
      <c r="J94" s="14"/>
    </row>
    <row r="95" hidden="1">
      <c r="A95" s="29" t="str">
        <f>HYPERLINK("https://github.com/pytorch/pytorch/blob/f99ab991dcd3719ee25dd3377a53ea12e518308e/test/test_stateless.py#L908", "TestPythonOptimizeMode")</f>
        <v>TestPythonOptimizeMode</v>
      </c>
      <c r="B95" s="30" t="s">
        <v>216</v>
      </c>
      <c r="C95" s="30" t="s">
        <v>222</v>
      </c>
      <c r="D95" s="30" t="s">
        <v>64</v>
      </c>
      <c r="E95" s="31" t="s">
        <v>223</v>
      </c>
      <c r="F95" s="33" t="b">
        <f t="shared" ref="F95:G95" si="32">IF(F88=TRUE,TRUE,FALSE)</f>
        <v>1</v>
      </c>
      <c r="G95" s="33" t="b">
        <f t="shared" si="32"/>
        <v>0</v>
      </c>
      <c r="H95" s="34" t="str">
        <f>IF(G95=TRUE,H88,"")</f>
        <v/>
      </c>
      <c r="I95" s="34"/>
      <c r="J95" s="14"/>
    </row>
    <row r="96" hidden="1">
      <c r="A96" s="35" t="str">
        <f>HYPERLINK("https://github.com/pytorch/pytorch/blob/f99ab991dcd3719ee25dd3377a53ea12e518308e/test/test_subclass.py#L41", "TestSubclass")</f>
        <v>TestSubclass</v>
      </c>
      <c r="B96" s="25" t="s">
        <v>224</v>
      </c>
      <c r="C96" s="25" t="s">
        <v>225</v>
      </c>
      <c r="D96" s="25" t="s">
        <v>64</v>
      </c>
      <c r="E96" s="36" t="s">
        <v>226</v>
      </c>
      <c r="F96" s="37" t="b">
        <f>IF(F88=TRUE,TRUE,FALSE)</f>
        <v>1</v>
      </c>
      <c r="G96" s="37" t="b">
        <v>0</v>
      </c>
      <c r="H96" s="34" t="str">
        <f>IF(G96=TRUE,H88,"")</f>
        <v/>
      </c>
      <c r="I96" s="34"/>
      <c r="J96" s="14"/>
    </row>
    <row r="97" hidden="1">
      <c r="A97" s="15" t="s">
        <v>227</v>
      </c>
      <c r="B97" s="16"/>
      <c r="C97" s="16"/>
      <c r="D97" s="16"/>
      <c r="E97" s="17"/>
      <c r="F97" s="18" t="b">
        <v>1</v>
      </c>
      <c r="G97" s="18" t="b">
        <v>0</v>
      </c>
      <c r="H97" s="20"/>
      <c r="I97" s="20"/>
      <c r="J97" s="14"/>
    </row>
    <row r="98">
      <c r="A98" s="21" t="str">
        <f>HYPERLINK("https://github.com/pytorch/pytorch/blob/f99ab991dcd3719ee25dd3377a53ea12e518308e/test/nn/test_convolution.py#L88", "TestConvolutionNN")</f>
        <v>TestConvolutionNN</v>
      </c>
      <c r="B98" s="22" t="s">
        <v>228</v>
      </c>
      <c r="C98" s="22" t="s">
        <v>229</v>
      </c>
      <c r="D98" s="22" t="s">
        <v>112</v>
      </c>
      <c r="E98" s="23" t="s">
        <v>230</v>
      </c>
      <c r="F98" s="24" t="b">
        <f>IF(F97=TRUE,TRUE,FALSE)</f>
        <v>1</v>
      </c>
      <c r="G98" s="24" t="b">
        <v>1</v>
      </c>
      <c r="H98" s="37" t="s">
        <v>114</v>
      </c>
      <c r="I98" s="26" t="s">
        <v>17</v>
      </c>
      <c r="J98" s="28" t="s">
        <v>231</v>
      </c>
    </row>
    <row r="99" hidden="1">
      <c r="A99" s="35" t="str">
        <f>HYPERLINK("https://github.com/pytorch/pytorch/blob/f99ab991dcd3719ee25dd3377a53ea12e518308e/test/nn/test_convolution.py#L1369", "TestConvolutionNNDeviceType")</f>
        <v>TestConvolutionNNDeviceType</v>
      </c>
      <c r="B99" s="25" t="s">
        <v>228</v>
      </c>
      <c r="C99" s="25" t="s">
        <v>232</v>
      </c>
      <c r="D99" s="25" t="s">
        <v>15</v>
      </c>
      <c r="E99" s="36" t="s">
        <v>233</v>
      </c>
      <c r="F99" s="37" t="b">
        <f t="shared" ref="F99:G99" si="33">IF(F97=TRUE,TRUE,FALSE)</f>
        <v>1</v>
      </c>
      <c r="G99" s="37" t="b">
        <f t="shared" si="33"/>
        <v>0</v>
      </c>
      <c r="H99" s="34" t="str">
        <f>IF(G99=TRUE,H97,"")</f>
        <v/>
      </c>
      <c r="I99" s="34"/>
      <c r="J99" s="14"/>
    </row>
    <row r="100" hidden="1">
      <c r="A100" s="15" t="s">
        <v>234</v>
      </c>
      <c r="B100" s="16"/>
      <c r="C100" s="16"/>
      <c r="D100" s="16"/>
      <c r="E100" s="17"/>
      <c r="F100" s="18" t="b">
        <v>1</v>
      </c>
      <c r="G100" s="18" t="b">
        <v>0</v>
      </c>
      <c r="H100" s="20"/>
      <c r="I100" s="20"/>
      <c r="J100" s="14"/>
    </row>
    <row r="101">
      <c r="A101" s="21" t="str">
        <f>HYPERLINK("https://github.com/pytorch/pytorch/blob/f99ab991dcd3719ee25dd3377a53ea12e518308e/test/nn/test_dropout.py#L27", "TestDropoutNN")</f>
        <v>TestDropoutNN</v>
      </c>
      <c r="B101" s="22" t="s">
        <v>235</v>
      </c>
      <c r="C101" s="22" t="s">
        <v>236</v>
      </c>
      <c r="D101" s="22" t="s">
        <v>237</v>
      </c>
      <c r="E101" s="23" t="s">
        <v>238</v>
      </c>
      <c r="F101" s="24" t="b">
        <f>IF(F100=TRUE,TRUE,FALSE)</f>
        <v>1</v>
      </c>
      <c r="G101" s="24" t="b">
        <v>1</v>
      </c>
      <c r="H101" s="43" t="s">
        <v>114</v>
      </c>
      <c r="I101" s="26" t="s">
        <v>45</v>
      </c>
      <c r="J101" s="27" t="s">
        <v>239</v>
      </c>
    </row>
    <row r="102" hidden="1">
      <c r="A102" s="35" t="str">
        <f>HYPERLINK("https://github.com/pytorch/pytorch/blob/f99ab991dcd3719ee25dd3377a53ea12e518308e/test/nn/test_dropout.py#L101", "TestDropoutNNDeviceType")</f>
        <v>TestDropoutNNDeviceType</v>
      </c>
      <c r="B102" s="25" t="s">
        <v>235</v>
      </c>
      <c r="C102" s="25" t="s">
        <v>240</v>
      </c>
      <c r="D102" s="25" t="s">
        <v>15</v>
      </c>
      <c r="E102" s="36" t="s">
        <v>241</v>
      </c>
      <c r="F102" s="37" t="b">
        <f t="shared" ref="F102:G102" si="34">IF(F100=TRUE,TRUE,FALSE)</f>
        <v>1</v>
      </c>
      <c r="G102" s="37" t="b">
        <f t="shared" si="34"/>
        <v>0</v>
      </c>
      <c r="H102" s="34" t="str">
        <f>IF(G102=TRUE,H100,"")</f>
        <v/>
      </c>
      <c r="I102" s="34"/>
      <c r="J102" s="14"/>
    </row>
    <row r="103" hidden="1">
      <c r="A103" s="15" t="s">
        <v>242</v>
      </c>
      <c r="B103" s="16"/>
      <c r="C103" s="16"/>
      <c r="D103" s="16"/>
      <c r="E103" s="17"/>
      <c r="F103" s="18" t="b">
        <v>1</v>
      </c>
      <c r="G103" s="18" t="b">
        <v>0</v>
      </c>
      <c r="H103" s="20"/>
      <c r="I103" s="20"/>
      <c r="J103" s="14"/>
    </row>
    <row r="104">
      <c r="A104" s="21" t="str">
        <f>HYPERLINK("https://github.com/pytorch/pytorch/blob/f99ab991dcd3719ee25dd3377a53ea12e518308e/test/nn/test_embedding.py#L43", "TestEmbeddingNN")</f>
        <v>TestEmbeddingNN</v>
      </c>
      <c r="B104" s="22" t="s">
        <v>243</v>
      </c>
      <c r="C104" s="22" t="s">
        <v>244</v>
      </c>
      <c r="D104" s="22" t="s">
        <v>112</v>
      </c>
      <c r="E104" s="23" t="s">
        <v>245</v>
      </c>
      <c r="F104" s="24" t="b">
        <f>IF(F103=TRUE,TRUE,FALSE)</f>
        <v>1</v>
      </c>
      <c r="G104" s="24" t="b">
        <v>1</v>
      </c>
      <c r="H104" s="37" t="s">
        <v>114</v>
      </c>
      <c r="I104" s="26" t="s">
        <v>17</v>
      </c>
      <c r="J104" s="27" t="s">
        <v>246</v>
      </c>
    </row>
    <row r="105">
      <c r="A105" s="21" t="str">
        <f>HYPERLINK("https://github.com/pytorch/pytorch/blob/f99ab991dcd3719ee25dd3377a53ea12e518308e/test/nn/test_embedding.py#L297", "TestEmbeddingNNDeviceType")</f>
        <v>TestEmbeddingNNDeviceType</v>
      </c>
      <c r="B105" s="22" t="s">
        <v>243</v>
      </c>
      <c r="C105" s="22" t="s">
        <v>247</v>
      </c>
      <c r="D105" s="22" t="s">
        <v>15</v>
      </c>
      <c r="E105" s="23" t="s">
        <v>248</v>
      </c>
      <c r="F105" s="24" t="b">
        <f>IF(F103=TRUE,TRUE,FALSE)</f>
        <v>1</v>
      </c>
      <c r="G105" s="24" t="b">
        <v>1</v>
      </c>
      <c r="H105" s="37" t="s">
        <v>114</v>
      </c>
      <c r="I105" s="26" t="s">
        <v>17</v>
      </c>
      <c r="J105" s="27" t="s">
        <v>246</v>
      </c>
    </row>
    <row r="106" hidden="1">
      <c r="A106" s="15" t="s">
        <v>249</v>
      </c>
      <c r="B106" s="16"/>
      <c r="C106" s="16"/>
      <c r="D106" s="16"/>
      <c r="E106" s="17"/>
      <c r="F106" s="18" t="b">
        <v>1</v>
      </c>
      <c r="G106" s="18" t="b">
        <v>0</v>
      </c>
      <c r="H106" s="20"/>
      <c r="I106" s="20"/>
      <c r="J106" s="14"/>
    </row>
    <row r="107" hidden="1">
      <c r="A107" s="29" t="str">
        <f>HYPERLINK("https://github.com/pytorch/pytorch/blob/f99ab991dcd3719ee25dd3377a53ea12e518308e/test/nn/test_init.py#L26", "TestNNInit")</f>
        <v>TestNNInit</v>
      </c>
      <c r="B107" s="30" t="s">
        <v>250</v>
      </c>
      <c r="C107" s="30" t="s">
        <v>251</v>
      </c>
      <c r="D107" s="30" t="s">
        <v>64</v>
      </c>
      <c r="E107" s="31" t="s">
        <v>252</v>
      </c>
      <c r="F107" s="33" t="b">
        <f t="shared" ref="F107:G107" si="35">IF(F106=TRUE,TRUE,FALSE)</f>
        <v>1</v>
      </c>
      <c r="G107" s="33" t="b">
        <f t="shared" si="35"/>
        <v>0</v>
      </c>
      <c r="H107" s="34" t="str">
        <f>IF(G107=TRUE,H106,"")</f>
        <v/>
      </c>
      <c r="I107" s="34"/>
      <c r="J107" s="14"/>
    </row>
    <row r="108" hidden="1">
      <c r="A108" s="15" t="s">
        <v>253</v>
      </c>
      <c r="B108" s="16"/>
      <c r="C108" s="16"/>
      <c r="D108" s="16"/>
      <c r="E108" s="17"/>
      <c r="F108" s="18" t="b">
        <v>1</v>
      </c>
      <c r="G108" s="18" t="b">
        <v>0</v>
      </c>
      <c r="H108" s="20"/>
      <c r="I108" s="20"/>
      <c r="J108" s="14"/>
    </row>
    <row r="109">
      <c r="A109" s="21" t="str">
        <f>HYPERLINK("https://github.com/pytorch/pytorch/blob/f99ab991dcd3719ee25dd3377a53ea12e518308e/test/nn/test_lazy_modules.py#L22", "TestLazyModules")</f>
        <v>TestLazyModules</v>
      </c>
      <c r="B109" s="22" t="s">
        <v>254</v>
      </c>
      <c r="C109" s="22" t="s">
        <v>255</v>
      </c>
      <c r="D109" s="22" t="s">
        <v>112</v>
      </c>
      <c r="E109" s="23" t="s">
        <v>256</v>
      </c>
      <c r="F109" s="24" t="b">
        <f>IF(F108=TRUE,TRUE,FALSE)</f>
        <v>1</v>
      </c>
      <c r="G109" s="24" t="b">
        <v>1</v>
      </c>
      <c r="H109" s="37" t="s">
        <v>87</v>
      </c>
      <c r="I109" s="26" t="s">
        <v>45</v>
      </c>
      <c r="J109" s="27" t="s">
        <v>257</v>
      </c>
    </row>
    <row r="110" hidden="1">
      <c r="A110" s="15" t="s">
        <v>258</v>
      </c>
      <c r="B110" s="16"/>
      <c r="C110" s="16"/>
      <c r="D110" s="16"/>
      <c r="E110" s="17"/>
      <c r="F110" s="18" t="b">
        <v>1</v>
      </c>
      <c r="G110" s="18" t="b">
        <v>0</v>
      </c>
      <c r="H110" s="20"/>
      <c r="I110" s="20"/>
      <c r="J110" s="14"/>
    </row>
    <row r="111" hidden="1">
      <c r="A111" s="29" t="str">
        <f>HYPERLINK("https://github.com/pytorch/pytorch/blob/f99ab991dcd3719ee25dd3377a53ea12e518308e/test/nn/test_load_state_dict.py#L27", "TestLoadStateDict")</f>
        <v>TestLoadStateDict</v>
      </c>
      <c r="B111" s="30" t="s">
        <v>259</v>
      </c>
      <c r="C111" s="30" t="s">
        <v>260</v>
      </c>
      <c r="D111" s="30" t="s">
        <v>172</v>
      </c>
      <c r="E111" s="31" t="s">
        <v>261</v>
      </c>
      <c r="F111" s="33" t="b">
        <f t="shared" ref="F111:G111" si="36">IF(F110=TRUE,TRUE,FALSE)</f>
        <v>1</v>
      </c>
      <c r="G111" s="33" t="b">
        <f t="shared" si="36"/>
        <v>0</v>
      </c>
      <c r="H111" s="34" t="str">
        <f>IF(G111=TRUE,H110,"")</f>
        <v/>
      </c>
      <c r="I111" s="34"/>
      <c r="J111" s="14"/>
    </row>
    <row r="112" hidden="1">
      <c r="A112" s="35" t="str">
        <f>HYPERLINK("https://github.com/pytorch/pytorch/blob/f99ab991dcd3719ee25dd3377a53ea12e518308e/test/nn/test_load_state_dict.py#L596", "TestLoadStateDictSwap")</f>
        <v>TestLoadStateDictSwap</v>
      </c>
      <c r="B112" s="25" t="s">
        <v>259</v>
      </c>
      <c r="C112" s="25" t="s">
        <v>262</v>
      </c>
      <c r="D112" s="25" t="s">
        <v>64</v>
      </c>
      <c r="E112" s="36" t="s">
        <v>261</v>
      </c>
      <c r="F112" s="37" t="b">
        <f t="shared" ref="F112:G112" si="37">IF(F110=TRUE,TRUE,FALSE)</f>
        <v>1</v>
      </c>
      <c r="G112" s="37" t="b">
        <f t="shared" si="37"/>
        <v>0</v>
      </c>
      <c r="H112" s="34" t="str">
        <f>IF(G112=TRUE,H110,"")</f>
        <v/>
      </c>
      <c r="I112" s="34"/>
      <c r="J112" s="14"/>
    </row>
    <row r="113" hidden="1">
      <c r="A113" s="15" t="s">
        <v>263</v>
      </c>
      <c r="B113" s="16"/>
      <c r="C113" s="16"/>
      <c r="D113" s="16"/>
      <c r="E113" s="17"/>
      <c r="F113" s="18" t="b">
        <v>1</v>
      </c>
      <c r="G113" s="18" t="b">
        <v>0</v>
      </c>
      <c r="H113" s="20"/>
      <c r="I113" s="20"/>
      <c r="J113" s="14"/>
    </row>
    <row r="114" hidden="1">
      <c r="A114" s="29" t="str">
        <f>HYPERLINK("https://github.com/pytorch/pytorch/blob/f99ab991dcd3719ee25dd3377a53ea12e518308e/test/nn/test_module_hooks.py#L188", "TestModuleHooks")</f>
        <v>TestModuleHooks</v>
      </c>
      <c r="B114" s="30" t="s">
        <v>264</v>
      </c>
      <c r="C114" s="30" t="s">
        <v>265</v>
      </c>
      <c r="D114" s="30" t="s">
        <v>64</v>
      </c>
      <c r="E114" s="31" t="s">
        <v>261</v>
      </c>
      <c r="F114" s="33" t="b">
        <f t="shared" ref="F114:G114" si="38">IF(F113=TRUE,TRUE,FALSE)</f>
        <v>1</v>
      </c>
      <c r="G114" s="33" t="b">
        <f t="shared" si="38"/>
        <v>0</v>
      </c>
      <c r="H114" s="34" t="str">
        <f>IF(G114=TRUE,H113,"")</f>
        <v/>
      </c>
      <c r="I114" s="34"/>
      <c r="J114" s="14"/>
    </row>
    <row r="115" hidden="1">
      <c r="A115" s="35" t="str">
        <f>HYPERLINK("https://github.com/pytorch/pytorch/blob/f99ab991dcd3719ee25dd3377a53ea12e518308e/test/nn/test_module_hooks.py#L551", "TestStateDictHooks")</f>
        <v>TestStateDictHooks</v>
      </c>
      <c r="B115" s="25" t="s">
        <v>264</v>
      </c>
      <c r="C115" s="25" t="s">
        <v>266</v>
      </c>
      <c r="D115" s="25" t="s">
        <v>64</v>
      </c>
      <c r="E115" s="36" t="s">
        <v>261</v>
      </c>
      <c r="F115" s="37" t="b">
        <f>IF(F113=TRUE,TRUE,FALSE)</f>
        <v>1</v>
      </c>
      <c r="G115" s="37" t="b">
        <v>0</v>
      </c>
      <c r="H115" s="34" t="str">
        <f>IF(G115=TRUE,H113,"")</f>
        <v/>
      </c>
      <c r="I115" s="34"/>
      <c r="J115" s="14"/>
    </row>
    <row r="116" hidden="1">
      <c r="A116" s="29" t="str">
        <f>HYPERLINK("https://github.com/pytorch/pytorch/blob/f99ab991dcd3719ee25dd3377a53ea12e518308e/test/nn/test_module_hooks.py#L945", "TestModuleGlobalHooks")</f>
        <v>TestModuleGlobalHooks</v>
      </c>
      <c r="B116" s="30" t="s">
        <v>264</v>
      </c>
      <c r="C116" s="30" t="s">
        <v>267</v>
      </c>
      <c r="D116" s="30" t="s">
        <v>64</v>
      </c>
      <c r="E116" s="31" t="s">
        <v>261</v>
      </c>
      <c r="F116" s="33" t="b">
        <f>IF(F113=TRUE,TRUE,FALSE)</f>
        <v>1</v>
      </c>
      <c r="G116" s="33" t="b">
        <v>0</v>
      </c>
      <c r="H116" s="34" t="str">
        <f>IF(G116=TRUE,H113,"")</f>
        <v/>
      </c>
      <c r="I116" s="34"/>
      <c r="J116" s="14"/>
    </row>
    <row r="117" hidden="1">
      <c r="A117" s="35" t="str">
        <f>HYPERLINK("https://github.com/pytorch/pytorch/blob/f99ab991dcd3719ee25dd3377a53ea12e518308e/test/nn/test_module_hooks.py#L1256", "TestModuleHookNN")</f>
        <v>TestModuleHookNN</v>
      </c>
      <c r="B117" s="25" t="s">
        <v>264</v>
      </c>
      <c r="C117" s="25" t="s">
        <v>268</v>
      </c>
      <c r="D117" s="25" t="s">
        <v>64</v>
      </c>
      <c r="E117" s="36" t="s">
        <v>261</v>
      </c>
      <c r="F117" s="37" t="b">
        <f t="shared" ref="F117:G117" si="39">IF(F113=TRUE,TRUE,FALSE)</f>
        <v>1</v>
      </c>
      <c r="G117" s="37" t="b">
        <f t="shared" si="39"/>
        <v>0</v>
      </c>
      <c r="H117" s="34" t="str">
        <f>IF(G117=TRUE,H113,"")</f>
        <v/>
      </c>
      <c r="I117" s="34"/>
      <c r="J117" s="14"/>
    </row>
    <row r="118" hidden="1">
      <c r="A118" s="15" t="s">
        <v>269</v>
      </c>
      <c r="B118" s="16"/>
      <c r="C118" s="16"/>
      <c r="D118" s="16"/>
      <c r="E118" s="17"/>
      <c r="F118" s="19" t="b">
        <v>0</v>
      </c>
      <c r="G118" s="18" t="b">
        <v>0</v>
      </c>
      <c r="H118" s="20"/>
      <c r="I118" s="20"/>
      <c r="J118" s="14"/>
    </row>
    <row r="119" hidden="1">
      <c r="A119" s="46" t="str">
        <f>HYPERLINK("https://github.com/pytorch/pytorch/blob/f99ab991dcd3719ee25dd3377a53ea12e518308e/test/nn/test_packed_sequence.py#L11", "PackedSequenceTest")</f>
        <v>PackedSequenceTest</v>
      </c>
      <c r="B119" s="47" t="s">
        <v>270</v>
      </c>
      <c r="C119" s="47" t="s">
        <v>271</v>
      </c>
      <c r="D119" s="47" t="s">
        <v>112</v>
      </c>
      <c r="E119" s="39" t="s">
        <v>272</v>
      </c>
      <c r="F119" s="49" t="b">
        <v>0</v>
      </c>
      <c r="G119" s="49" t="b">
        <v>0</v>
      </c>
      <c r="H119" s="48"/>
      <c r="I119" s="47"/>
      <c r="J119" s="14"/>
    </row>
    <row r="120" hidden="1">
      <c r="A120" s="15" t="s">
        <v>273</v>
      </c>
      <c r="B120" s="16"/>
      <c r="C120" s="16"/>
      <c r="D120" s="16"/>
      <c r="E120" s="17"/>
      <c r="F120" s="18" t="b">
        <v>1</v>
      </c>
      <c r="G120" s="18" t="b">
        <v>0</v>
      </c>
      <c r="H120" s="18" t="s">
        <v>169</v>
      </c>
      <c r="I120" s="20"/>
      <c r="J120" s="14"/>
    </row>
    <row r="121">
      <c r="A121" s="21" t="str">
        <f>HYPERLINK("https://github.com/pytorch/pytorch/blob/f99ab991dcd3719ee25dd3377a53ea12e518308e/test/nn/test_parametrization.py#L30", "TestNNParametrization")</f>
        <v>TestNNParametrization</v>
      </c>
      <c r="B121" s="22" t="s">
        <v>274</v>
      </c>
      <c r="C121" s="22" t="s">
        <v>275</v>
      </c>
      <c r="D121" s="22" t="s">
        <v>112</v>
      </c>
      <c r="E121" s="23" t="s">
        <v>276</v>
      </c>
      <c r="F121" s="24" t="b">
        <f>IF(F120=TRUE,TRUE,FALSE)</f>
        <v>1</v>
      </c>
      <c r="G121" s="24" t="b">
        <v>1</v>
      </c>
      <c r="H121" s="37" t="s">
        <v>169</v>
      </c>
      <c r="I121" s="26" t="s">
        <v>45</v>
      </c>
      <c r="J121" s="27" t="s">
        <v>277</v>
      </c>
    </row>
    <row r="122">
      <c r="A122" s="21" t="str">
        <f>HYPERLINK("https://github.com/pytorch/pytorch/blob/f99ab991dcd3719ee25dd3377a53ea12e518308e/test/nn/test_parametrization.py#L1884", "TestNNParametrizationDevice")</f>
        <v>TestNNParametrizationDevice</v>
      </c>
      <c r="B122" s="22" t="s">
        <v>274</v>
      </c>
      <c r="C122" s="22" t="s">
        <v>278</v>
      </c>
      <c r="D122" s="22" t="s">
        <v>279</v>
      </c>
      <c r="E122" s="23" t="s">
        <v>280</v>
      </c>
      <c r="F122" s="24" t="b">
        <v>1</v>
      </c>
      <c r="G122" s="24" t="b">
        <v>1</v>
      </c>
      <c r="H122" s="37" t="s">
        <v>169</v>
      </c>
      <c r="I122" s="26" t="s">
        <v>45</v>
      </c>
      <c r="J122" s="28" t="s">
        <v>277</v>
      </c>
    </row>
    <row r="123" hidden="1">
      <c r="A123" s="15" t="s">
        <v>281</v>
      </c>
      <c r="B123" s="16"/>
      <c r="C123" s="16"/>
      <c r="D123" s="16"/>
      <c r="E123" s="17"/>
      <c r="F123" s="18" t="b">
        <v>1</v>
      </c>
      <c r="G123" s="18" t="b">
        <v>0</v>
      </c>
      <c r="H123" s="20"/>
      <c r="I123" s="20"/>
      <c r="J123" s="14"/>
    </row>
    <row r="124">
      <c r="A124" s="21" t="str">
        <f>HYPERLINK("https://github.com/pytorch/pytorch/blob/f99ab991dcd3719ee25dd3377a53ea12e518308e/test/nn/test_pooling.py#L53", "TestAvgPool")</f>
        <v>TestAvgPool</v>
      </c>
      <c r="B124" s="22" t="s">
        <v>282</v>
      </c>
      <c r="C124" s="22" t="s">
        <v>283</v>
      </c>
      <c r="D124" s="22" t="s">
        <v>284</v>
      </c>
      <c r="E124" s="23" t="s">
        <v>285</v>
      </c>
      <c r="F124" s="24" t="b">
        <f>IF(F123=TRUE,TRUE,FALSE)</f>
        <v>1</v>
      </c>
      <c r="G124" s="24" t="b">
        <v>1</v>
      </c>
      <c r="H124" s="43" t="s">
        <v>169</v>
      </c>
      <c r="I124" s="26" t="s">
        <v>286</v>
      </c>
      <c r="J124" s="14"/>
    </row>
    <row r="125">
      <c r="A125" s="21" t="str">
        <f>HYPERLINK("https://github.com/pytorch/pytorch/blob/f99ab991dcd3719ee25dd3377a53ea12e518308e/test/nn/test_pooling.py#L189", "TestPoolingNN")</f>
        <v>TestPoolingNN</v>
      </c>
      <c r="B125" s="22" t="s">
        <v>282</v>
      </c>
      <c r="C125" s="22" t="s">
        <v>287</v>
      </c>
      <c r="D125" s="22" t="s">
        <v>284</v>
      </c>
      <c r="E125" s="23" t="s">
        <v>288</v>
      </c>
      <c r="F125" s="24" t="b">
        <f>IF(F123=TRUE,TRUE,FALSE)</f>
        <v>1</v>
      </c>
      <c r="G125" s="24" t="b">
        <v>1</v>
      </c>
      <c r="H125" s="43" t="s">
        <v>169</v>
      </c>
      <c r="I125" s="26" t="s">
        <v>286</v>
      </c>
      <c r="J125" s="14"/>
    </row>
    <row r="126" hidden="1">
      <c r="A126" s="35" t="str">
        <f>HYPERLINK("https://github.com/pytorch/pytorch/blob/f99ab991dcd3719ee25dd3377a53ea12e518308e/test/nn/test_pooling.py#L505", "TestPoolingNNDeviceType")</f>
        <v>TestPoolingNNDeviceType</v>
      </c>
      <c r="B126" s="25" t="s">
        <v>282</v>
      </c>
      <c r="C126" s="25" t="s">
        <v>289</v>
      </c>
      <c r="D126" s="25" t="s">
        <v>15</v>
      </c>
      <c r="E126" s="36" t="s">
        <v>290</v>
      </c>
      <c r="F126" s="37" t="b">
        <f t="shared" ref="F126:G126" si="40">IF(F123=TRUE,TRUE,FALSE)</f>
        <v>1</v>
      </c>
      <c r="G126" s="37" t="b">
        <f t="shared" si="40"/>
        <v>0</v>
      </c>
      <c r="H126" s="34" t="str">
        <f>IF(G126=TRUE,H123,"")</f>
        <v/>
      </c>
      <c r="I126" s="34"/>
      <c r="J126" s="14"/>
    </row>
    <row r="127" hidden="1">
      <c r="A127" s="15" t="s">
        <v>291</v>
      </c>
      <c r="B127" s="16"/>
      <c r="C127" s="16"/>
      <c r="D127" s="16"/>
      <c r="E127" s="17"/>
      <c r="F127" s="18" t="b">
        <v>1</v>
      </c>
      <c r="G127" s="18" t="b">
        <v>0</v>
      </c>
      <c r="H127" s="20"/>
      <c r="I127" s="20"/>
      <c r="J127" s="14"/>
    </row>
    <row r="128" hidden="1">
      <c r="A128" s="29" t="str">
        <f>HYPERLINK("https://github.com/pytorch/pytorch/blob/f99ab991dcd3719ee25dd3377a53ea12e518308e/test/nn/test_pruning.py#L18", "TestPruningNN")</f>
        <v>TestPruningNN</v>
      </c>
      <c r="B128" s="30" t="s">
        <v>292</v>
      </c>
      <c r="C128" s="30" t="s">
        <v>293</v>
      </c>
      <c r="D128" s="30" t="s">
        <v>64</v>
      </c>
      <c r="E128" s="31" t="s">
        <v>261</v>
      </c>
      <c r="F128" s="32" t="b">
        <v>0</v>
      </c>
      <c r="G128" s="33" t="b">
        <f>IF(G127=TRUE,TRUE,FALSE)</f>
        <v>0</v>
      </c>
      <c r="H128" s="34" t="str">
        <f>IF(G128=TRUE,H127,"")</f>
        <v/>
      </c>
      <c r="I128" s="34"/>
      <c r="J128" s="14"/>
    </row>
    <row r="129" hidden="1">
      <c r="A129" s="9" t="s">
        <v>294</v>
      </c>
      <c r="B129" s="10"/>
      <c r="C129" s="10"/>
      <c r="D129" s="10"/>
      <c r="E129" s="11"/>
      <c r="F129" s="12"/>
      <c r="G129" s="12"/>
      <c r="H129" s="12"/>
      <c r="I129" s="12"/>
      <c r="J129" s="14"/>
    </row>
    <row r="130" hidden="1">
      <c r="A130" s="15" t="s">
        <v>295</v>
      </c>
      <c r="B130" s="16"/>
      <c r="C130" s="16"/>
      <c r="D130" s="16"/>
      <c r="E130" s="17"/>
      <c r="F130" s="18" t="b">
        <v>1</v>
      </c>
      <c r="G130" s="18" t="b">
        <v>0</v>
      </c>
      <c r="H130" s="20"/>
      <c r="I130" s="20"/>
      <c r="J130" s="14"/>
    </row>
    <row r="131" hidden="1">
      <c r="A131" s="35" t="str">
        <f>HYPERLINK("https://github.com/pytorch/pytorch/blob/f99ab991dcd3719ee25dd3377a53ea12e518308e/test/nn/test_multihead_attention.py#L35", "TestMultiheadAttentionNN")</f>
        <v>TestMultiheadAttentionNN</v>
      </c>
      <c r="B131" s="25" t="s">
        <v>296</v>
      </c>
      <c r="C131" s="25" t="s">
        <v>297</v>
      </c>
      <c r="D131" s="25" t="s">
        <v>284</v>
      </c>
      <c r="E131" s="36" t="s">
        <v>298</v>
      </c>
      <c r="F131" s="37" t="b">
        <f t="shared" ref="F131:G131" si="41">IF(F130=TRUE,TRUE,FALSE)</f>
        <v>1</v>
      </c>
      <c r="G131" s="37" t="b">
        <f t="shared" si="41"/>
        <v>0</v>
      </c>
      <c r="H131" s="34" t="str">
        <f>IF(G131=TRUE,H130,"")</f>
        <v/>
      </c>
      <c r="I131" s="34"/>
      <c r="J131" s="14"/>
    </row>
    <row r="132" hidden="1">
      <c r="A132" s="29" t="str">
        <f>HYPERLINK("https://github.com/pytorch/pytorch/blob/f99ab991dcd3719ee25dd3377a53ea12e518308e/test/nn/test_multihead_attention.py#L755", "TestMultiheadAttentionNNDeviceType")</f>
        <v>TestMultiheadAttentionNNDeviceType</v>
      </c>
      <c r="B132" s="30" t="s">
        <v>296</v>
      </c>
      <c r="C132" s="30" t="s">
        <v>299</v>
      </c>
      <c r="D132" s="30" t="s">
        <v>15</v>
      </c>
      <c r="E132" s="31" t="s">
        <v>300</v>
      </c>
      <c r="F132" s="33" t="b">
        <f t="shared" ref="F132:G132" si="42">IF(F130=TRUE,TRUE,FALSE)</f>
        <v>1</v>
      </c>
      <c r="G132" s="33" t="b">
        <f t="shared" si="42"/>
        <v>0</v>
      </c>
      <c r="H132" s="34" t="str">
        <f>IF(G132=TRUE,H130,"")</f>
        <v/>
      </c>
      <c r="I132" s="34"/>
      <c r="J132" s="14"/>
    </row>
    <row r="133" hidden="1">
      <c r="A133" s="35" t="str">
        <f>HYPERLINK("https://github.com/pytorch/pytorch/blob/f99ab991dcd3719ee25dd3377a53ea12e518308e/test/test_native_mha.py#L18", "TestMHADeviceType")</f>
        <v>TestMHADeviceType</v>
      </c>
      <c r="B133" s="25" t="s">
        <v>301</v>
      </c>
      <c r="C133" s="25" t="s">
        <v>302</v>
      </c>
      <c r="D133" s="25" t="s">
        <v>15</v>
      </c>
      <c r="E133" s="36" t="s">
        <v>303</v>
      </c>
      <c r="F133" s="37" t="b">
        <f t="shared" ref="F133:G133" si="43">IF(F130=TRUE,TRUE,FALSE)</f>
        <v>1</v>
      </c>
      <c r="G133" s="37" t="b">
        <f t="shared" si="43"/>
        <v>0</v>
      </c>
      <c r="H133" s="34" t="str">
        <f>IF(G133=TRUE,H130,"")</f>
        <v/>
      </c>
      <c r="I133" s="34"/>
      <c r="J133" s="14"/>
    </row>
    <row r="134" hidden="1">
      <c r="A134" s="29" t="str">
        <f>HYPERLINK("https://github.com/pytorch/pytorch/blob/f99ab991dcd3719ee25dd3377a53ea12e518308e/test/test_transformers.py#L263", "TestTransformers")</f>
        <v>TestTransformers</v>
      </c>
      <c r="B134" s="30" t="s">
        <v>304</v>
      </c>
      <c r="C134" s="30" t="s">
        <v>305</v>
      </c>
      <c r="D134" s="30" t="s">
        <v>279</v>
      </c>
      <c r="E134" s="31" t="s">
        <v>306</v>
      </c>
      <c r="F134" s="33" t="b">
        <f t="shared" ref="F134:G134" si="44">IF(F130=TRUE,TRUE,FALSE)</f>
        <v>1</v>
      </c>
      <c r="G134" s="33" t="b">
        <f t="shared" si="44"/>
        <v>0</v>
      </c>
      <c r="H134" s="34" t="str">
        <f>IF(G134=TRUE,H130,"")</f>
        <v/>
      </c>
      <c r="I134" s="41" t="s">
        <v>104</v>
      </c>
      <c r="J134" s="14" t="s">
        <v>307</v>
      </c>
    </row>
    <row r="135" hidden="1">
      <c r="A135" s="50" t="str">
        <f>HYPERLINK("https://github.com/pytorch/pytorch/blob/f99ab991dcd3719ee25dd3377a53ea12e518308e/test/test_transformers.py#L1505", "TestSDPAFailureModes")</f>
        <v>TestSDPAFailureModes</v>
      </c>
      <c r="B135" s="51" t="s">
        <v>304</v>
      </c>
      <c r="C135" s="51" t="s">
        <v>308</v>
      </c>
      <c r="D135" s="51" t="s">
        <v>279</v>
      </c>
      <c r="E135" s="52" t="s">
        <v>309</v>
      </c>
      <c r="F135" s="53" t="b">
        <f>IF(F130=TRUE,TRUE,FALSE)</f>
        <v>1</v>
      </c>
      <c r="G135" s="53" t="s">
        <v>310</v>
      </c>
      <c r="H135" s="51" t="str">
        <f>IF(G135=TRUE,H130,"")</f>
        <v/>
      </c>
      <c r="I135" s="53" t="s">
        <v>104</v>
      </c>
      <c r="J135" s="14" t="s">
        <v>307</v>
      </c>
    </row>
    <row r="136" hidden="1">
      <c r="A136" s="50" t="str">
        <f>HYPERLINK("https://github.com/pytorch/pytorch/blob/f99ab991dcd3719ee25dd3377a53ea12e518308e/test/test_transformers.py#L2062", "TestSDPA")</f>
        <v>TestSDPA</v>
      </c>
      <c r="B136" s="51" t="s">
        <v>304</v>
      </c>
      <c r="C136" s="51" t="s">
        <v>311</v>
      </c>
      <c r="D136" s="51" t="s">
        <v>279</v>
      </c>
      <c r="E136" s="52" t="s">
        <v>312</v>
      </c>
      <c r="F136" s="53" t="b">
        <f>IF(F130=TRUE,TRUE,FALSE)</f>
        <v>1</v>
      </c>
      <c r="G136" s="53" t="s">
        <v>310</v>
      </c>
      <c r="H136" s="53" t="s">
        <v>114</v>
      </c>
      <c r="I136" s="53" t="s">
        <v>104</v>
      </c>
      <c r="J136" s="14" t="s">
        <v>307</v>
      </c>
    </row>
    <row r="137" hidden="1">
      <c r="A137" s="50" t="str">
        <f>HYPERLINK("https://github.com/pytorch/pytorch/blob/f99ab991dcd3719ee25dd3377a53ea12e518308e/test/test_transformers.py#L2119", "TestSDPACpuOnly")</f>
        <v>TestSDPACpuOnly</v>
      </c>
      <c r="B137" s="51" t="s">
        <v>304</v>
      </c>
      <c r="C137" s="51" t="s">
        <v>313</v>
      </c>
      <c r="D137" s="51" t="s">
        <v>26</v>
      </c>
      <c r="E137" s="52" t="s">
        <v>27</v>
      </c>
      <c r="F137" s="53" t="b">
        <f>IF(F130=TRUE,TRUE,FALSE)</f>
        <v>1</v>
      </c>
      <c r="G137" s="53" t="s">
        <v>310</v>
      </c>
      <c r="H137" s="53" t="s">
        <v>114</v>
      </c>
      <c r="I137" s="53" t="s">
        <v>104</v>
      </c>
      <c r="J137" s="14" t="s">
        <v>307</v>
      </c>
    </row>
    <row r="138" hidden="1">
      <c r="A138" s="50" t="str">
        <f>HYPERLINK("https://github.com/pytorch/pytorch/blob/f99ab991dcd3719ee25dd3377a53ea12e518308e/test/test_transformers.py#L2490", "TestSDPACudaOnly")</f>
        <v>TestSDPACudaOnly</v>
      </c>
      <c r="B138" s="51" t="s">
        <v>304</v>
      </c>
      <c r="C138" s="51" t="s">
        <v>314</v>
      </c>
      <c r="D138" s="51" t="s">
        <v>315</v>
      </c>
      <c r="E138" s="52" t="s">
        <v>316</v>
      </c>
      <c r="F138" s="53" t="b">
        <f>IF(F130=TRUE,TRUE,FALSE)</f>
        <v>1</v>
      </c>
      <c r="G138" s="53" t="s">
        <v>310</v>
      </c>
      <c r="H138" s="53" t="s">
        <v>114</v>
      </c>
      <c r="I138" s="53" t="s">
        <v>104</v>
      </c>
      <c r="J138" s="14" t="s">
        <v>307</v>
      </c>
    </row>
    <row r="139" hidden="1">
      <c r="A139" s="35" t="str">
        <f>HYPERLINK("https://github.com/pytorch/pytorch/blob/f99ab991dcd3719ee25dd3377a53ea12e518308e/test/test_transformers.py#L4350", "TestSDPAXpuOnly")</f>
        <v>TestSDPAXpuOnly</v>
      </c>
      <c r="B139" s="25" t="s">
        <v>304</v>
      </c>
      <c r="C139" s="25" t="s">
        <v>317</v>
      </c>
      <c r="D139" s="25" t="s">
        <v>318</v>
      </c>
      <c r="E139" s="39" t="s">
        <v>319</v>
      </c>
      <c r="F139" s="37" t="b">
        <f>IF(F130=TRUE,TRUE,FALSE)</f>
        <v>1</v>
      </c>
      <c r="G139" s="37" t="b">
        <v>0</v>
      </c>
      <c r="H139" s="42" t="s">
        <v>114</v>
      </c>
      <c r="I139" s="41" t="s">
        <v>104</v>
      </c>
      <c r="J139" s="14" t="s">
        <v>307</v>
      </c>
    </row>
    <row r="140" hidden="1">
      <c r="A140" s="50" t="str">
        <f>HYPERLINK("https://github.com/pytorch/pytorch/blob/f99ab991dcd3719ee25dd3377a53ea12e518308e/test/test_transformers.py#L4843", "TestAttnBias")</f>
        <v>TestAttnBias</v>
      </c>
      <c r="B140" s="51" t="s">
        <v>304</v>
      </c>
      <c r="C140" s="51" t="s">
        <v>320</v>
      </c>
      <c r="D140" s="51" t="s">
        <v>279</v>
      </c>
      <c r="E140" s="52" t="s">
        <v>312</v>
      </c>
      <c r="F140" s="53" t="b">
        <f>IF(F130=TRUE,TRUE,FALSE)</f>
        <v>1</v>
      </c>
      <c r="G140" s="53" t="s">
        <v>310</v>
      </c>
      <c r="H140" s="53" t="s">
        <v>114</v>
      </c>
      <c r="I140" s="53" t="s">
        <v>104</v>
      </c>
      <c r="J140" s="14" t="s">
        <v>307</v>
      </c>
    </row>
    <row r="141" hidden="1">
      <c r="A141" s="35" t="str">
        <f>HYPERLINK("https://github.com/pytorch/pytorch/blob/f99ab991dcd3719ee25dd3377a53ea12e518308e/test/test_varlen_attention.py#L194", "TestVarlenAttention")</f>
        <v>TestVarlenAttention</v>
      </c>
      <c r="B141" s="25" t="s">
        <v>321</v>
      </c>
      <c r="C141" s="25" t="s">
        <v>322</v>
      </c>
      <c r="D141" s="25" t="s">
        <v>279</v>
      </c>
      <c r="E141" s="36" t="s">
        <v>323</v>
      </c>
      <c r="F141" s="37" t="b">
        <f t="shared" ref="F141:G141" si="45">IF(F130=TRUE,TRUE,FALSE)</f>
        <v>1</v>
      </c>
      <c r="G141" s="37" t="b">
        <f t="shared" si="45"/>
        <v>0</v>
      </c>
      <c r="H141" s="34" t="str">
        <f>IF(G141=TRUE,H130,"")</f>
        <v/>
      </c>
      <c r="I141" s="34"/>
      <c r="J141" s="14"/>
    </row>
    <row r="142" hidden="1">
      <c r="A142" s="15" t="s">
        <v>324</v>
      </c>
      <c r="B142" s="16"/>
      <c r="C142" s="16"/>
      <c r="D142" s="16"/>
      <c r="E142" s="17"/>
      <c r="F142" s="18" t="b">
        <v>1</v>
      </c>
      <c r="G142" s="18" t="b">
        <v>0</v>
      </c>
      <c r="H142" s="20"/>
      <c r="I142" s="20"/>
      <c r="J142" s="14"/>
    </row>
    <row r="143" hidden="1">
      <c r="A143" s="29" t="str">
        <f>HYPERLINK("https://github.com/pytorch/pytorch/blob/f99ab991dcd3719ee25dd3377a53ea12e518308e/test/nn/attention/test_fa3.py#L34", "TestFlashAttentionFA3")</f>
        <v>TestFlashAttentionFA3</v>
      </c>
      <c r="B143" s="30" t="s">
        <v>325</v>
      </c>
      <c r="C143" s="30" t="s">
        <v>326</v>
      </c>
      <c r="D143" s="30" t="s">
        <v>315</v>
      </c>
      <c r="E143" s="31" t="s">
        <v>316</v>
      </c>
      <c r="F143" s="33" t="b">
        <f t="shared" ref="F143:G143" si="46">IF(F142=TRUE,TRUE,FALSE)</f>
        <v>1</v>
      </c>
      <c r="G143" s="33" t="b">
        <f t="shared" si="46"/>
        <v>0</v>
      </c>
      <c r="H143" s="34" t="str">
        <f>IF(G143=TRUE,H142,"")</f>
        <v/>
      </c>
      <c r="I143" s="34"/>
      <c r="J143" s="14"/>
    </row>
    <row r="144" hidden="1">
      <c r="A144" s="35" t="str">
        <f>HYPERLINK("https://github.com/pytorch/pytorch/blob/f99ab991dcd3719ee25dd3377a53ea12e518308e/test/nn/attention/test_fa4.py#L30", "TestFlashAttentionFA4")</f>
        <v>TestFlashAttentionFA4</v>
      </c>
      <c r="B144" s="25" t="s">
        <v>327</v>
      </c>
      <c r="C144" s="25" t="s">
        <v>328</v>
      </c>
      <c r="D144" s="25" t="s">
        <v>315</v>
      </c>
      <c r="E144" s="36" t="s">
        <v>316</v>
      </c>
      <c r="F144" s="37" t="b">
        <f t="shared" ref="F144:G144" si="47">IF(F142=TRUE,TRUE,FALSE)</f>
        <v>1</v>
      </c>
      <c r="G144" s="37" t="b">
        <f t="shared" si="47"/>
        <v>0</v>
      </c>
      <c r="H144" s="34" t="str">
        <f>IF(G144=TRUE,H142,"")</f>
        <v/>
      </c>
      <c r="I144" s="34"/>
      <c r="J144" s="14"/>
    </row>
    <row r="145" hidden="1">
      <c r="A145" s="29" t="str">
        <f>HYPERLINK("https://github.com/pytorch/pytorch/blob/f99ab991dcd3719ee25dd3377a53ea12e518308e/test/nn/attention/test_open_registry.py#L13", "TestFlashAttentionRegistry")</f>
        <v>TestFlashAttentionRegistry</v>
      </c>
      <c r="B145" s="30" t="s">
        <v>329</v>
      </c>
      <c r="C145" s="30" t="s">
        <v>330</v>
      </c>
      <c r="D145" s="30" t="s">
        <v>64</v>
      </c>
      <c r="E145" s="31" t="s">
        <v>331</v>
      </c>
      <c r="F145" s="33" t="b">
        <f t="shared" ref="F145:G145" si="48">IF(F142=TRUE,TRUE,FALSE)</f>
        <v>1</v>
      </c>
      <c r="G145" s="33" t="b">
        <f t="shared" si="48"/>
        <v>0</v>
      </c>
      <c r="H145" s="34" t="str">
        <f>IF(G145=TRUE,H142,"")</f>
        <v/>
      </c>
      <c r="I145" s="34"/>
      <c r="J145" s="14"/>
    </row>
    <row r="146" hidden="1">
      <c r="A146" s="9" t="s">
        <v>332</v>
      </c>
      <c r="B146" s="10"/>
      <c r="C146" s="10"/>
      <c r="D146" s="10"/>
      <c r="E146" s="11"/>
      <c r="F146" s="12"/>
      <c r="G146" s="12"/>
      <c r="H146" s="12"/>
      <c r="I146" s="12"/>
      <c r="J146" s="14"/>
    </row>
    <row r="147" hidden="1">
      <c r="A147" s="15" t="s">
        <v>333</v>
      </c>
      <c r="B147" s="16"/>
      <c r="C147" s="16"/>
      <c r="D147" s="16"/>
      <c r="E147" s="17"/>
      <c r="F147" s="18" t="b">
        <v>1</v>
      </c>
      <c r="G147" s="18" t="b">
        <v>0</v>
      </c>
      <c r="H147" s="20"/>
      <c r="I147" s="20"/>
      <c r="J147" s="14"/>
    </row>
    <row r="148" hidden="1">
      <c r="A148" s="35" t="str">
        <f>HYPERLINK("https://github.com/pytorch/pytorch/blob/f99ab991dcd3719ee25dd3377a53ea12e518308e/test/test_functional_optim.py#L82", "TestFunctionalOptimParity")</f>
        <v>TestFunctionalOptimParity</v>
      </c>
      <c r="B148" s="25" t="s">
        <v>334</v>
      </c>
      <c r="C148" s="25" t="s">
        <v>335</v>
      </c>
      <c r="D148" s="25" t="s">
        <v>64</v>
      </c>
      <c r="E148" s="36" t="s">
        <v>261</v>
      </c>
      <c r="F148" s="37" t="b">
        <f t="shared" ref="F148:G148" si="49">IF(F147=TRUE,TRUE,FALSE)</f>
        <v>1</v>
      </c>
      <c r="G148" s="37" t="b">
        <f t="shared" si="49"/>
        <v>0</v>
      </c>
      <c r="H148" s="34" t="str">
        <f>IF(G148=TRUE,H147,"")</f>
        <v/>
      </c>
      <c r="I148" s="34"/>
      <c r="J148" s="14"/>
    </row>
    <row r="149">
      <c r="A149" s="21" t="str">
        <f>HYPERLINK("https://github.com/pytorch/pytorch/blob/f99ab991dcd3719ee25dd3377a53ea12e518308e/test/test_optim.py#L69", "TestOptimRenewed")</f>
        <v>TestOptimRenewed</v>
      </c>
      <c r="B149" s="22" t="s">
        <v>336</v>
      </c>
      <c r="C149" s="22" t="s">
        <v>337</v>
      </c>
      <c r="D149" s="22" t="s">
        <v>15</v>
      </c>
      <c r="E149" s="23" t="s">
        <v>338</v>
      </c>
      <c r="F149" s="24" t="b">
        <f>IF(F147=TRUE,TRUE,FALSE)</f>
        <v>1</v>
      </c>
      <c r="G149" s="24" t="b">
        <v>1</v>
      </c>
      <c r="H149" s="26" t="s">
        <v>114</v>
      </c>
      <c r="I149" s="26" t="s">
        <v>17</v>
      </c>
      <c r="J149" s="28" t="s">
        <v>339</v>
      </c>
    </row>
    <row r="150" hidden="1">
      <c r="A150" s="15" t="s">
        <v>340</v>
      </c>
      <c r="B150" s="16"/>
      <c r="C150" s="16"/>
      <c r="D150" s="16"/>
      <c r="E150" s="17"/>
      <c r="F150" s="18" t="b">
        <v>1</v>
      </c>
      <c r="G150" s="18" t="b">
        <v>0</v>
      </c>
      <c r="H150" s="20"/>
      <c r="I150" s="20"/>
      <c r="J150" s="14"/>
    </row>
    <row r="151" hidden="1">
      <c r="A151" s="35" t="str">
        <f>HYPERLINK("https://github.com/pytorch/pytorch/blob/f99ab991dcd3719ee25dd3377a53ea12e518308e/test/optim/test_lrscheduler.py#L49", "TestLRScheduler")</f>
        <v>TestLRScheduler</v>
      </c>
      <c r="B151" s="25" t="s">
        <v>341</v>
      </c>
      <c r="C151" s="25" t="s">
        <v>342</v>
      </c>
      <c r="D151" s="25" t="s">
        <v>64</v>
      </c>
      <c r="E151" s="36" t="s">
        <v>343</v>
      </c>
      <c r="F151" s="37" t="b">
        <f t="shared" ref="F151:G151" si="50">IF(F150=TRUE,TRUE,FALSE)</f>
        <v>1</v>
      </c>
      <c r="G151" s="37" t="b">
        <f t="shared" si="50"/>
        <v>0</v>
      </c>
      <c r="H151" s="34" t="str">
        <f>IF(G151=TRUE,H150,"")</f>
        <v/>
      </c>
      <c r="I151" s="34"/>
      <c r="J151" s="14"/>
    </row>
    <row r="152" hidden="1">
      <c r="A152" s="29" t="str">
        <f>HYPERLINK("https://github.com/pytorch/pytorch/blob/f99ab991dcd3719ee25dd3377a53ea12e518308e/test/optim/test_optim.py#L132", "TestDifferentiableOptimizer")</f>
        <v>TestDifferentiableOptimizer</v>
      </c>
      <c r="B152" s="30" t="s">
        <v>344</v>
      </c>
      <c r="C152" s="30" t="s">
        <v>345</v>
      </c>
      <c r="D152" s="30" t="s">
        <v>64</v>
      </c>
      <c r="E152" s="31" t="s">
        <v>346</v>
      </c>
      <c r="F152" s="33" t="b">
        <f t="shared" ref="F152:G152" si="51">IF(F150=TRUE,TRUE,FALSE)</f>
        <v>1</v>
      </c>
      <c r="G152" s="33" t="b">
        <f t="shared" si="51"/>
        <v>0</v>
      </c>
      <c r="H152" s="34" t="str">
        <f>IF(G152=TRUE,H150,"")</f>
        <v/>
      </c>
      <c r="I152" s="34"/>
      <c r="J152" s="14"/>
    </row>
    <row r="153">
      <c r="A153" s="21" t="str">
        <f>HYPERLINK("https://github.com/pytorch/pytorch/blob/f99ab991dcd3719ee25dd3377a53ea12e518308e/test/optim/test_swa_utils.py#L26", "TestSWAUtils")</f>
        <v>TestSWAUtils</v>
      </c>
      <c r="B153" s="22" t="s">
        <v>347</v>
      </c>
      <c r="C153" s="22" t="s">
        <v>348</v>
      </c>
      <c r="D153" s="22" t="s">
        <v>112</v>
      </c>
      <c r="E153" s="23" t="s">
        <v>349</v>
      </c>
      <c r="F153" s="24" t="b">
        <f>IF(F150=TRUE,TRUE,FALSE)</f>
        <v>1</v>
      </c>
      <c r="G153" s="24" t="b">
        <v>1</v>
      </c>
      <c r="H153" s="37" t="s">
        <v>87</v>
      </c>
      <c r="I153" s="26" t="s">
        <v>17</v>
      </c>
      <c r="J153" s="27" t="s">
        <v>350</v>
      </c>
    </row>
    <row r="154" hidden="1">
      <c r="A154" s="9" t="s">
        <v>351</v>
      </c>
      <c r="B154" s="10"/>
      <c r="C154" s="10"/>
      <c r="D154" s="10"/>
      <c r="E154" s="11"/>
      <c r="F154" s="12"/>
      <c r="G154" s="12"/>
      <c r="H154" s="12"/>
      <c r="I154" s="12"/>
      <c r="J154" s="14"/>
    </row>
    <row r="155" hidden="1">
      <c r="A155" s="15" t="s">
        <v>352</v>
      </c>
      <c r="B155" s="16"/>
      <c r="C155" s="16"/>
      <c r="D155" s="16"/>
      <c r="E155" s="17"/>
      <c r="F155" s="18" t="b">
        <v>1</v>
      </c>
      <c r="G155" s="18" t="b">
        <v>0</v>
      </c>
      <c r="H155" s="20"/>
      <c r="I155" s="20"/>
      <c r="J155" s="14"/>
    </row>
    <row r="156">
      <c r="A156" s="21" t="str">
        <f>HYPERLINK("https://github.com/pytorch/pytorch/blob/f99ab991dcd3719ee25dd3377a53ea12e518308e/test/test_linalg.py#L118", "TestLinalg")</f>
        <v>TestLinalg</v>
      </c>
      <c r="B156" s="22" t="s">
        <v>353</v>
      </c>
      <c r="C156" s="22" t="s">
        <v>354</v>
      </c>
      <c r="D156" s="22" t="s">
        <v>15</v>
      </c>
      <c r="E156" s="23" t="s">
        <v>355</v>
      </c>
      <c r="F156" s="24" t="b">
        <f>IF(F155=TRUE,TRUE,FALSE)</f>
        <v>1</v>
      </c>
      <c r="G156" s="24" t="b">
        <v>1</v>
      </c>
      <c r="H156" s="43" t="s">
        <v>169</v>
      </c>
      <c r="I156" s="26" t="s">
        <v>17</v>
      </c>
      <c r="J156" s="54" t="s">
        <v>356</v>
      </c>
    </row>
    <row r="157" hidden="1">
      <c r="A157" s="50" t="str">
        <f>HYPERLINK("https://github.com/pytorch/pytorch/blob/f99ab991dcd3719ee25dd3377a53ea12e518308e/test/test_matmul_cuda.py#L105", "TestMatmulCuda")</f>
        <v>TestMatmulCuda</v>
      </c>
      <c r="B157" s="51" t="s">
        <v>357</v>
      </c>
      <c r="C157" s="51" t="s">
        <v>358</v>
      </c>
      <c r="D157" s="51" t="s">
        <v>284</v>
      </c>
      <c r="E157" s="52" t="s">
        <v>359</v>
      </c>
      <c r="F157" s="53" t="b">
        <f>IF(F155=TRUE,TRUE,FALSE)</f>
        <v>1</v>
      </c>
      <c r="G157" s="53" t="s">
        <v>310</v>
      </c>
      <c r="H157" s="51" t="str">
        <f>IF(G157=TRUE,H155,"")</f>
        <v/>
      </c>
      <c r="I157" s="26" t="s">
        <v>17</v>
      </c>
      <c r="J157" s="27" t="s">
        <v>360</v>
      </c>
    </row>
    <row r="158" hidden="1">
      <c r="A158" s="29" t="str">
        <f>HYPERLINK("https://github.com/pytorch/pytorch/blob/f99ab991dcd3719ee25dd3377a53ea12e518308e/test/test_matmul_cuda.py#L1074", "TestMixedDtypesLinearCuda")</f>
        <v>TestMixedDtypesLinearCuda</v>
      </c>
      <c r="B158" s="30" t="s">
        <v>357</v>
      </c>
      <c r="C158" s="30" t="s">
        <v>361</v>
      </c>
      <c r="D158" s="30" t="s">
        <v>284</v>
      </c>
      <c r="E158" s="31" t="s">
        <v>359</v>
      </c>
      <c r="F158" s="33" t="b">
        <f t="shared" ref="F158:G158" si="52">IF(F155=TRUE,TRUE,FALSE)</f>
        <v>1</v>
      </c>
      <c r="G158" s="33" t="b">
        <f t="shared" si="52"/>
        <v>0</v>
      </c>
      <c r="H158" s="34" t="str">
        <f>IF(G158=TRUE,H155,"")</f>
        <v/>
      </c>
      <c r="I158" s="34"/>
      <c r="J158" s="14"/>
    </row>
    <row r="159" hidden="1">
      <c r="A159" s="9" t="s">
        <v>362</v>
      </c>
      <c r="B159" s="10"/>
      <c r="C159" s="10"/>
      <c r="D159" s="10"/>
      <c r="E159" s="11"/>
      <c r="F159" s="12"/>
      <c r="G159" s="12"/>
      <c r="H159" s="12"/>
      <c r="I159" s="12"/>
      <c r="J159" s="14"/>
    </row>
    <row r="160" hidden="1">
      <c r="A160" s="15" t="s">
        <v>363</v>
      </c>
      <c r="B160" s="16"/>
      <c r="C160" s="16"/>
      <c r="D160" s="16"/>
      <c r="E160" s="17"/>
      <c r="F160" s="18" t="b">
        <v>1</v>
      </c>
      <c r="G160" s="18" t="b">
        <v>0</v>
      </c>
      <c r="H160" s="20"/>
      <c r="I160" s="20"/>
      <c r="J160" s="14"/>
    </row>
    <row r="161" hidden="1">
      <c r="A161" s="29" t="str">
        <f>HYPERLINK("https://github.com/pytorch/pytorch/blob/f99ab991dcd3719ee25dd3377a53ea12e518308e/test/test_appending_byte_serializer.py#L13", "TestAppendingByteSerializer")</f>
        <v>TestAppendingByteSerializer</v>
      </c>
      <c r="B161" s="30" t="s">
        <v>364</v>
      </c>
      <c r="C161" s="30" t="s">
        <v>365</v>
      </c>
      <c r="D161" s="30" t="s">
        <v>64</v>
      </c>
      <c r="E161" s="31" t="s">
        <v>366</v>
      </c>
      <c r="F161" s="33" t="b">
        <f t="shared" ref="F161:G161" si="53">IF(F160=TRUE,TRUE,FALSE)</f>
        <v>1</v>
      </c>
      <c r="G161" s="33" t="b">
        <f t="shared" si="53"/>
        <v>0</v>
      </c>
      <c r="H161" s="34" t="str">
        <f>IF(G161=TRUE,H160,"")</f>
        <v/>
      </c>
      <c r="I161" s="34"/>
      <c r="J161" s="14"/>
    </row>
    <row r="162" hidden="1">
      <c r="A162" s="35" t="str">
        <f>HYPERLINK("https://github.com/pytorch/pytorch/blob/f99ab991dcd3719ee25dd3377a53ea12e518308e/test/test_serialization.py#L1034", "TestBothSerialization")</f>
        <v>TestBothSerialization</v>
      </c>
      <c r="B162" s="25" t="s">
        <v>367</v>
      </c>
      <c r="C162" s="25" t="s">
        <v>368</v>
      </c>
      <c r="D162" s="25" t="s">
        <v>15</v>
      </c>
      <c r="E162" s="36" t="s">
        <v>369</v>
      </c>
      <c r="F162" s="37" t="b">
        <f t="shared" ref="F162:G162" si="54">IF(F160=TRUE,TRUE,FALSE)</f>
        <v>1</v>
      </c>
      <c r="G162" s="37" t="b">
        <f t="shared" si="54"/>
        <v>0</v>
      </c>
      <c r="H162" s="34" t="str">
        <f>IF(G162=TRUE,H160,"")</f>
        <v/>
      </c>
      <c r="I162" s="34"/>
      <c r="J162" s="14"/>
    </row>
    <row r="163" hidden="1">
      <c r="A163" s="29" t="str">
        <f>HYPERLINK("https://github.com/pytorch/pytorch/blob/f99ab991dcd3719ee25dd3377a53ea12e518308e/test/test_serialization.py#L1056", "TestOldSerialization")</f>
        <v>TestOldSerialization</v>
      </c>
      <c r="B163" s="30" t="s">
        <v>367</v>
      </c>
      <c r="C163" s="30" t="s">
        <v>370</v>
      </c>
      <c r="D163" s="30" t="s">
        <v>64</v>
      </c>
      <c r="E163" s="31" t="s">
        <v>371</v>
      </c>
      <c r="F163" s="33" t="b">
        <f t="shared" ref="F163:G163" si="55">IF(F160=TRUE,TRUE,FALSE)</f>
        <v>1</v>
      </c>
      <c r="G163" s="33" t="b">
        <f t="shared" si="55"/>
        <v>0</v>
      </c>
      <c r="H163" s="34" t="str">
        <f>IF(G163=TRUE,H160,"")</f>
        <v/>
      </c>
      <c r="I163" s="34"/>
      <c r="J163" s="14"/>
    </row>
    <row r="164">
      <c r="A164" s="21" t="str">
        <f>HYPERLINK("https://github.com/pytorch/pytorch/blob/f99ab991dcd3719ee25dd3377a53ea12e518308e/test/test_serialization.py#L1156", "TestSerialization")</f>
        <v>TestSerialization</v>
      </c>
      <c r="B164" s="22" t="s">
        <v>367</v>
      </c>
      <c r="C164" s="22" t="s">
        <v>372</v>
      </c>
      <c r="D164" s="22" t="s">
        <v>112</v>
      </c>
      <c r="E164" s="23" t="s">
        <v>373</v>
      </c>
      <c r="F164" s="24" t="b">
        <f>IF(F160=TRUE,TRUE,FALSE)</f>
        <v>1</v>
      </c>
      <c r="G164" s="24" t="b">
        <v>1</v>
      </c>
      <c r="H164" s="37" t="s">
        <v>114</v>
      </c>
      <c r="I164" s="26" t="s">
        <v>17</v>
      </c>
      <c r="J164" s="27" t="s">
        <v>374</v>
      </c>
    </row>
    <row r="165" hidden="1">
      <c r="A165" s="29" t="str">
        <f>HYPERLINK("https://github.com/pytorch/pytorch/blob/f99ab991dcd3719ee25dd3377a53ea12e518308e/test/test_serialization.py#L4962", "TestSubclassSerialization")</f>
        <v>TestSubclassSerialization</v>
      </c>
      <c r="B165" s="30" t="s">
        <v>367</v>
      </c>
      <c r="C165" s="30" t="s">
        <v>375</v>
      </c>
      <c r="D165" s="30" t="s">
        <v>64</v>
      </c>
      <c r="E165" s="31" t="s">
        <v>376</v>
      </c>
      <c r="F165" s="33" t="b">
        <f t="shared" ref="F165:G165" si="56">IF(F160=TRUE,TRUE,FALSE)</f>
        <v>1</v>
      </c>
      <c r="G165" s="33" t="b">
        <f t="shared" si="56"/>
        <v>0</v>
      </c>
      <c r="H165" s="34" t="str">
        <f>IF(G165=TRUE,H160,"")</f>
        <v/>
      </c>
      <c r="I165" s="34"/>
      <c r="J165" s="14"/>
    </row>
    <row r="166" hidden="1">
      <c r="A166" s="35" t="str">
        <f>HYPERLINK("https://github.com/pytorch/pytorch/blob/f99ab991dcd3719ee25dd3377a53ea12e518308e/test/test_show_pickle.py#L12", "TestShowPickle")</f>
        <v>TestShowPickle</v>
      </c>
      <c r="B166" s="25" t="s">
        <v>377</v>
      </c>
      <c r="C166" s="25" t="s">
        <v>378</v>
      </c>
      <c r="D166" s="25" t="s">
        <v>64</v>
      </c>
      <c r="E166" s="36" t="s">
        <v>379</v>
      </c>
      <c r="F166" s="37" t="b">
        <f t="shared" ref="F166:G166" si="57">IF(F160=TRUE,TRUE,FALSE)</f>
        <v>1</v>
      </c>
      <c r="G166" s="37" t="b">
        <f t="shared" si="57"/>
        <v>0</v>
      </c>
      <c r="H166" s="34" t="str">
        <f>IF(G166=TRUE,H160,"")</f>
        <v/>
      </c>
      <c r="I166" s="34"/>
      <c r="J166" s="14"/>
    </row>
    <row r="167" hidden="1">
      <c r="A167" s="9" t="s">
        <v>380</v>
      </c>
      <c r="B167" s="10"/>
      <c r="C167" s="10"/>
      <c r="D167" s="10"/>
      <c r="E167" s="11"/>
      <c r="F167" s="12"/>
      <c r="G167" s="12"/>
      <c r="H167" s="12"/>
      <c r="I167" s="12"/>
      <c r="J167" s="14"/>
    </row>
    <row r="168" hidden="1">
      <c r="A168" s="15" t="s">
        <v>381</v>
      </c>
      <c r="B168" s="16"/>
      <c r="C168" s="16"/>
      <c r="D168" s="16"/>
      <c r="E168" s="17"/>
      <c r="F168" s="18" t="b">
        <v>1</v>
      </c>
      <c r="G168" s="18" t="b">
        <v>0</v>
      </c>
      <c r="H168" s="20"/>
      <c r="I168" s="20"/>
      <c r="J168" s="14"/>
    </row>
    <row r="169">
      <c r="A169" s="21" t="str">
        <f>HYPERLINK("https://github.com/pytorch/pytorch/blob/f99ab991dcd3719ee25dd3377a53ea12e518308e/test/test_ops.py#L219", "TestCommon")</f>
        <v>TestCommon</v>
      </c>
      <c r="B169" s="22" t="s">
        <v>382</v>
      </c>
      <c r="C169" s="22" t="s">
        <v>383</v>
      </c>
      <c r="D169" s="22" t="s">
        <v>15</v>
      </c>
      <c r="E169" s="23" t="s">
        <v>384</v>
      </c>
      <c r="F169" s="24" t="b">
        <f>IF(F168=TRUE,TRUE,FALSE)</f>
        <v>1</v>
      </c>
      <c r="G169" s="24" t="b">
        <v>1</v>
      </c>
      <c r="H169" s="37" t="s">
        <v>114</v>
      </c>
      <c r="I169" s="37" t="s">
        <v>104</v>
      </c>
      <c r="J169" s="14" t="s">
        <v>385</v>
      </c>
    </row>
    <row r="170" hidden="1">
      <c r="A170" s="35" t="str">
        <f>HYPERLINK("https://github.com/pytorch/pytorch/blob/f99ab991dcd3719ee25dd3377a53ea12e518308e/test/test_ops.py#L1907", "TestCompositeCompliance")</f>
        <v>TestCompositeCompliance</v>
      </c>
      <c r="B170" s="25" t="s">
        <v>382</v>
      </c>
      <c r="C170" s="25" t="s">
        <v>386</v>
      </c>
      <c r="D170" s="25" t="s">
        <v>15</v>
      </c>
      <c r="E170" s="36" t="s">
        <v>387</v>
      </c>
      <c r="F170" s="37" t="b">
        <f t="shared" ref="F170:G170" si="58">IF(F168=TRUE,TRUE,FALSE)</f>
        <v>1</v>
      </c>
      <c r="G170" s="37" t="b">
        <f t="shared" si="58"/>
        <v>0</v>
      </c>
      <c r="H170" s="34" t="str">
        <f>IF(G170=TRUE,H168,"")</f>
        <v/>
      </c>
      <c r="I170" s="41" t="s">
        <v>104</v>
      </c>
      <c r="J170" s="28" t="s">
        <v>388</v>
      </c>
    </row>
    <row r="171" hidden="1">
      <c r="A171" s="29" t="str">
        <f>HYPERLINK("https://github.com/pytorch/pytorch/blob/f99ab991dcd3719ee25dd3377a53ea12e518308e/test/test_ops.py#L2192", "TestMathBits")</f>
        <v>TestMathBits</v>
      </c>
      <c r="B171" s="30" t="s">
        <v>382</v>
      </c>
      <c r="C171" s="30" t="s">
        <v>389</v>
      </c>
      <c r="D171" s="30" t="s">
        <v>15</v>
      </c>
      <c r="E171" s="31" t="s">
        <v>387</v>
      </c>
      <c r="F171" s="33" t="b">
        <f t="shared" ref="F171:G171" si="59">IF(F168=TRUE,TRUE,FALSE)</f>
        <v>1</v>
      </c>
      <c r="G171" s="33" t="b">
        <f t="shared" si="59"/>
        <v>0</v>
      </c>
      <c r="H171" s="34" t="str">
        <f>IF(G171=TRUE,H168,"")</f>
        <v/>
      </c>
      <c r="I171" s="41" t="s">
        <v>104</v>
      </c>
      <c r="J171" s="28" t="s">
        <v>388</v>
      </c>
    </row>
    <row r="172" hidden="1">
      <c r="A172" s="35" t="str">
        <f>HYPERLINK("https://github.com/pytorch/pytorch/blob/f99ab991dcd3719ee25dd3377a53ea12e518308e/test/test_ops.py#L2419", "TestTags")</f>
        <v>TestTags</v>
      </c>
      <c r="B172" s="25" t="s">
        <v>382</v>
      </c>
      <c r="C172" s="25" t="s">
        <v>390</v>
      </c>
      <c r="D172" s="25" t="s">
        <v>15</v>
      </c>
      <c r="E172" s="36" t="s">
        <v>387</v>
      </c>
      <c r="F172" s="37" t="b">
        <f t="shared" ref="F172:G172" si="60">IF(F168=TRUE,TRUE,FALSE)</f>
        <v>1</v>
      </c>
      <c r="G172" s="37" t="b">
        <f t="shared" si="60"/>
        <v>0</v>
      </c>
      <c r="H172" s="34" t="str">
        <f>IF(G172=TRUE,H168,"")</f>
        <v/>
      </c>
      <c r="I172" s="41" t="s">
        <v>104</v>
      </c>
      <c r="J172" s="55"/>
    </row>
    <row r="173" hidden="1">
      <c r="A173" s="29" t="str">
        <f>HYPERLINK("https://github.com/pytorch/pytorch/blob/f99ab991dcd3719ee25dd3377a53ea12e518308e/test/test_ops.py#L2438", "TestSelfKwarg")</f>
        <v>TestSelfKwarg</v>
      </c>
      <c r="B173" s="30" t="s">
        <v>382</v>
      </c>
      <c r="C173" s="30" t="s">
        <v>391</v>
      </c>
      <c r="D173" s="30" t="s">
        <v>64</v>
      </c>
      <c r="E173" s="31" t="s">
        <v>392</v>
      </c>
      <c r="F173" s="33" t="b">
        <f t="shared" ref="F173:G173" si="61">IF(F168=TRUE,TRUE,FALSE)</f>
        <v>1</v>
      </c>
      <c r="G173" s="33" t="b">
        <f t="shared" si="61"/>
        <v>0</v>
      </c>
      <c r="H173" s="34" t="str">
        <f>IF(G173=TRUE,H168,"")</f>
        <v/>
      </c>
      <c r="I173" s="41" t="s">
        <v>104</v>
      </c>
      <c r="J173" s="55"/>
    </row>
    <row r="174" hidden="1">
      <c r="A174" s="35" t="str">
        <f>HYPERLINK("https://github.com/pytorch/pytorch/blob/f99ab991dcd3719ee25dd3377a53ea12e518308e/test/test_ops.py#L2448", "TestRefsOpsInfo")</f>
        <v>TestRefsOpsInfo</v>
      </c>
      <c r="B174" s="25" t="s">
        <v>382</v>
      </c>
      <c r="C174" s="25" t="s">
        <v>393</v>
      </c>
      <c r="D174" s="25" t="s">
        <v>26</v>
      </c>
      <c r="E174" s="36" t="s">
        <v>394</v>
      </c>
      <c r="F174" s="37" t="b">
        <f t="shared" ref="F174:G174" si="62">IF(F168=TRUE,TRUE,FALSE)</f>
        <v>1</v>
      </c>
      <c r="G174" s="37" t="b">
        <f t="shared" si="62"/>
        <v>0</v>
      </c>
      <c r="H174" s="34" t="str">
        <f>IF(G174=TRUE,H168,"")</f>
        <v/>
      </c>
      <c r="I174" s="41" t="s">
        <v>104</v>
      </c>
      <c r="J174" s="55"/>
    </row>
    <row r="175" hidden="1">
      <c r="A175" s="29" t="str">
        <f>HYPERLINK("https://github.com/pytorch/pytorch/blob/f99ab991dcd3719ee25dd3377a53ea12e518308e/test/test_ops.py#L2749", "TestFakeTensor")</f>
        <v>TestFakeTensor</v>
      </c>
      <c r="B175" s="30" t="s">
        <v>382</v>
      </c>
      <c r="C175" s="30" t="s">
        <v>395</v>
      </c>
      <c r="D175" s="30" t="s">
        <v>15</v>
      </c>
      <c r="E175" s="31" t="s">
        <v>396</v>
      </c>
      <c r="F175" s="33" t="b">
        <f t="shared" ref="F175:G175" si="63">IF(F168=TRUE,TRUE,FALSE)</f>
        <v>1</v>
      </c>
      <c r="G175" s="33" t="b">
        <f t="shared" si="63"/>
        <v>0</v>
      </c>
      <c r="H175" s="34" t="str">
        <f>IF(G175=TRUE,H168,"")</f>
        <v/>
      </c>
      <c r="I175" s="41" t="s">
        <v>104</v>
      </c>
      <c r="J175" s="28" t="s">
        <v>388</v>
      </c>
    </row>
    <row r="176" hidden="1">
      <c r="A176" s="35" t="str">
        <f>HYPERLINK("https://github.com/pytorch/pytorch/blob/f99ab991dcd3719ee25dd3377a53ea12e518308e/test/test_ops.py#L3002", "TestForwardADWithScalars")</f>
        <v>TestForwardADWithScalars</v>
      </c>
      <c r="B176" s="25" t="s">
        <v>382</v>
      </c>
      <c r="C176" s="25" t="s">
        <v>397</v>
      </c>
      <c r="D176" s="25" t="s">
        <v>15</v>
      </c>
      <c r="E176" s="36" t="s">
        <v>387</v>
      </c>
      <c r="F176" s="37" t="b">
        <f t="shared" ref="F176:G176" si="64">IF(F168=TRUE,TRUE,FALSE)</f>
        <v>1</v>
      </c>
      <c r="G176" s="37" t="b">
        <f t="shared" si="64"/>
        <v>0</v>
      </c>
      <c r="H176" s="34" t="str">
        <f>IF(G176=TRUE,H168,"")</f>
        <v/>
      </c>
      <c r="I176" s="41" t="s">
        <v>104</v>
      </c>
      <c r="J176" s="28" t="s">
        <v>388</v>
      </c>
    </row>
    <row r="177" hidden="1">
      <c r="A177" s="29" t="str">
        <f>HYPERLINK("https://github.com/pytorch/pytorch/blob/f99ab991dcd3719ee25dd3377a53ea12e518308e/test/test_ops_fwd_gradients.py#L37", "TestFwdGradients")</f>
        <v>TestFwdGradients</v>
      </c>
      <c r="B177" s="30" t="s">
        <v>398</v>
      </c>
      <c r="C177" s="30" t="s">
        <v>399</v>
      </c>
      <c r="D177" s="30" t="s">
        <v>15</v>
      </c>
      <c r="E177" s="31" t="s">
        <v>387</v>
      </c>
      <c r="F177" s="33" t="b">
        <f t="shared" ref="F177:G177" si="65">IF(F168=TRUE,TRUE,FALSE)</f>
        <v>1</v>
      </c>
      <c r="G177" s="33" t="b">
        <f t="shared" si="65"/>
        <v>0</v>
      </c>
      <c r="H177" s="34" t="str">
        <f>IF(G177=TRUE,H168,"")</f>
        <v/>
      </c>
      <c r="I177" s="34"/>
      <c r="J177" s="14"/>
    </row>
    <row r="178" hidden="1">
      <c r="A178" s="35" t="str">
        <f>HYPERLINK("https://github.com/pytorch/pytorch/blob/f99ab991dcd3719ee25dd3377a53ea12e518308e/test/test_ops_gradients.py#L29", "TestBwdGradients")</f>
        <v>TestBwdGradients</v>
      </c>
      <c r="B178" s="25" t="s">
        <v>400</v>
      </c>
      <c r="C178" s="25" t="s">
        <v>401</v>
      </c>
      <c r="D178" s="25" t="s">
        <v>15</v>
      </c>
      <c r="E178" s="36" t="s">
        <v>387</v>
      </c>
      <c r="F178" s="37" t="b">
        <f t="shared" ref="F178:G178" si="66">IF(F168=TRUE,TRUE,FALSE)</f>
        <v>1</v>
      </c>
      <c r="G178" s="37" t="b">
        <f t="shared" si="66"/>
        <v>0</v>
      </c>
      <c r="H178" s="34" t="str">
        <f>IF(G178=TRUE,H168,"")</f>
        <v/>
      </c>
      <c r="I178" s="34"/>
      <c r="J178" s="14"/>
    </row>
    <row r="179" hidden="1">
      <c r="A179" s="29" t="str">
        <f>HYPERLINK("https://github.com/pytorch/pytorch/blob/f99ab991dcd3719ee25dd3377a53ea12e518308e/test/test_ops_jit.py#L50", "TestJit")</f>
        <v>TestJit</v>
      </c>
      <c r="B179" s="30" t="s">
        <v>402</v>
      </c>
      <c r="C179" s="30" t="s">
        <v>403</v>
      </c>
      <c r="D179" s="30" t="s">
        <v>15</v>
      </c>
      <c r="E179" s="31" t="s">
        <v>387</v>
      </c>
      <c r="F179" s="33" t="b">
        <v>0</v>
      </c>
      <c r="G179" s="33" t="b">
        <f>IF(G168=TRUE,TRUE,FALSE)</f>
        <v>0</v>
      </c>
      <c r="H179" s="34" t="str">
        <f>IF(G179=TRUE,H168,"")</f>
        <v/>
      </c>
      <c r="I179" s="34"/>
      <c r="J179" s="14"/>
    </row>
    <row r="180" hidden="1">
      <c r="A180" s="35" t="str">
        <f>HYPERLINK("https://github.com/pytorch/pytorch/blob/f99ab991dcd3719ee25dd3377a53ea12e518308e/test/test_ops_unbacked.py#L67", "TestOpsUnbacked")</f>
        <v>TestOpsUnbacked</v>
      </c>
      <c r="B180" s="25" t="s">
        <v>404</v>
      </c>
      <c r="C180" s="25" t="s">
        <v>405</v>
      </c>
      <c r="D180" s="25" t="s">
        <v>279</v>
      </c>
      <c r="E180" s="36" t="s">
        <v>406</v>
      </c>
      <c r="F180" s="37" t="b">
        <f t="shared" ref="F180:G180" si="67">IF(F168=TRUE,TRUE,FALSE)</f>
        <v>1</v>
      </c>
      <c r="G180" s="37" t="b">
        <f t="shared" si="67"/>
        <v>0</v>
      </c>
      <c r="H180" s="34" t="str">
        <f>IF(G180=TRUE,H168,"")</f>
        <v/>
      </c>
      <c r="I180" s="34"/>
      <c r="J180" s="14"/>
    </row>
    <row r="181" hidden="1">
      <c r="A181" s="9" t="s">
        <v>407</v>
      </c>
      <c r="B181" s="10"/>
      <c r="C181" s="10"/>
      <c r="D181" s="10"/>
      <c r="E181" s="11"/>
      <c r="F181" s="12"/>
      <c r="G181" s="12"/>
      <c r="H181" s="12"/>
      <c r="I181" s="12"/>
      <c r="J181" s="14"/>
    </row>
    <row r="182" hidden="1">
      <c r="A182" s="15" t="s">
        <v>408</v>
      </c>
      <c r="B182" s="16"/>
      <c r="C182" s="16"/>
      <c r="D182" s="16"/>
      <c r="E182" s="17"/>
      <c r="F182" s="18" t="b">
        <v>1</v>
      </c>
      <c r="G182" s="18" t="b">
        <v>0</v>
      </c>
      <c r="H182" s="20"/>
      <c r="I182" s="20"/>
      <c r="J182" s="14"/>
    </row>
    <row r="183" hidden="1">
      <c r="A183" s="29" t="str">
        <f>HYPERLINK("https://github.com/pytorch/pytorch/blob/f99ab991dcd3719ee25dd3377a53ea12e518308e/test/test_dispatch.py#L57", "TestDispatch")</f>
        <v>TestDispatch</v>
      </c>
      <c r="B183" s="30" t="s">
        <v>409</v>
      </c>
      <c r="C183" s="30" t="s">
        <v>410</v>
      </c>
      <c r="D183" s="30" t="s">
        <v>172</v>
      </c>
      <c r="E183" s="31" t="s">
        <v>411</v>
      </c>
      <c r="F183" s="33" t="b">
        <f t="shared" ref="F183:G183" si="68">IF(F182=TRUE,TRUE,FALSE)</f>
        <v>1</v>
      </c>
      <c r="G183" s="33" t="b">
        <f t="shared" si="68"/>
        <v>0</v>
      </c>
      <c r="H183" s="34" t="str">
        <f>IF(G183=TRUE,H182,"")</f>
        <v/>
      </c>
      <c r="I183" s="34"/>
      <c r="J183" s="14"/>
    </row>
    <row r="184" hidden="1">
      <c r="A184" s="35" t="str">
        <f>HYPERLINK("https://github.com/pytorch/pytorch/blob/f99ab991dcd3719ee25dd3377a53ea12e518308e/test/test_dispatch.py#L987", "TestPythonDispatcher")</f>
        <v>TestPythonDispatcher</v>
      </c>
      <c r="B184" s="25" t="s">
        <v>409</v>
      </c>
      <c r="C184" s="25" t="s">
        <v>412</v>
      </c>
      <c r="D184" s="25" t="s">
        <v>172</v>
      </c>
      <c r="E184" s="36" t="s">
        <v>413</v>
      </c>
      <c r="F184" s="37" t="b">
        <f t="shared" ref="F184:G184" si="69">IF(F182=TRUE,TRUE,FALSE)</f>
        <v>1</v>
      </c>
      <c r="G184" s="37" t="b">
        <f t="shared" si="69"/>
        <v>0</v>
      </c>
      <c r="H184" s="34" t="str">
        <f>IF(G184=TRUE,H182,"")</f>
        <v/>
      </c>
      <c r="I184" s="34"/>
      <c r="J184" s="14"/>
    </row>
    <row r="185" hidden="1">
      <c r="A185" s="29" t="str">
        <f>HYPERLINK("https://github.com/pytorch/pytorch/blob/f99ab991dcd3719ee25dd3377a53ea12e518308e/test/test_overrides.py#L384", "TestTorchFunctionOverride")</f>
        <v>TestTorchFunctionOverride</v>
      </c>
      <c r="B185" s="30" t="s">
        <v>414</v>
      </c>
      <c r="C185" s="30" t="s">
        <v>415</v>
      </c>
      <c r="D185" s="30" t="s">
        <v>64</v>
      </c>
      <c r="E185" s="31" t="s">
        <v>416</v>
      </c>
      <c r="F185" s="33" t="b">
        <f t="shared" ref="F185:G185" si="70">IF(F182=TRUE,TRUE,FALSE)</f>
        <v>1</v>
      </c>
      <c r="G185" s="33" t="b">
        <f t="shared" si="70"/>
        <v>0</v>
      </c>
      <c r="H185" s="34" t="str">
        <f>IF(G185=TRUE,H182,"")</f>
        <v/>
      </c>
      <c r="I185" s="34"/>
      <c r="J185" s="14"/>
    </row>
    <row r="186" hidden="1">
      <c r="A186" s="35" t="str">
        <f>HYPERLINK("https://github.com/pytorch/pytorch/blob/f99ab991dcd3719ee25dd3377a53ea12e518308e/test/test_overrides.py#L1157", "TestEinsumOverride")</f>
        <v>TestEinsumOverride</v>
      </c>
      <c r="B186" s="25" t="s">
        <v>414</v>
      </c>
      <c r="C186" s="25" t="s">
        <v>417</v>
      </c>
      <c r="D186" s="25" t="s">
        <v>64</v>
      </c>
      <c r="E186" s="36" t="s">
        <v>418</v>
      </c>
      <c r="F186" s="37" t="b">
        <f t="shared" ref="F186:G186" si="71">IF(F182=TRUE,TRUE,FALSE)</f>
        <v>1</v>
      </c>
      <c r="G186" s="37" t="b">
        <f t="shared" si="71"/>
        <v>0</v>
      </c>
      <c r="H186" s="34" t="str">
        <f>IF(G186=TRUE,H182,"")</f>
        <v/>
      </c>
      <c r="I186" s="34"/>
      <c r="J186" s="14"/>
    </row>
    <row r="187" hidden="1">
      <c r="A187" s="29" t="str">
        <f>HYPERLINK("https://github.com/pytorch/pytorch/blob/f99ab991dcd3719ee25dd3377a53ea12e518308e/test/test_overrides.py#L1172", "TestGradCheckOverride")</f>
        <v>TestGradCheckOverride</v>
      </c>
      <c r="B187" s="30" t="s">
        <v>414</v>
      </c>
      <c r="C187" s="30" t="s">
        <v>419</v>
      </c>
      <c r="D187" s="30" t="s">
        <v>64</v>
      </c>
      <c r="E187" s="31" t="s">
        <v>420</v>
      </c>
      <c r="F187" s="33" t="b">
        <f t="shared" ref="F187:G187" si="72">IF(F182=TRUE,TRUE,FALSE)</f>
        <v>1</v>
      </c>
      <c r="G187" s="33" t="b">
        <f t="shared" si="72"/>
        <v>0</v>
      </c>
      <c r="H187" s="34" t="str">
        <f>IF(G187=TRUE,H182,"")</f>
        <v/>
      </c>
      <c r="I187" s="34"/>
      <c r="J187" s="14"/>
    </row>
    <row r="188" hidden="1">
      <c r="A188" s="35" t="str">
        <f>HYPERLINK("https://github.com/pytorch/pytorch/blob/f99ab991dcd3719ee25dd3377a53ea12e518308e/test/test_overrides.py#L1228", "TestNamedTuple")</f>
        <v>TestNamedTuple</v>
      </c>
      <c r="B188" s="25" t="s">
        <v>414</v>
      </c>
      <c r="C188" s="25" t="s">
        <v>421</v>
      </c>
      <c r="D188" s="25" t="s">
        <v>64</v>
      </c>
      <c r="E188" s="36" t="s">
        <v>422</v>
      </c>
      <c r="F188" s="37" t="b">
        <f t="shared" ref="F188:G188" si="73">IF(F182=TRUE,TRUE,FALSE)</f>
        <v>1</v>
      </c>
      <c r="G188" s="37" t="b">
        <f t="shared" si="73"/>
        <v>0</v>
      </c>
      <c r="H188" s="34" t="str">
        <f>IF(G188=TRUE,H182,"")</f>
        <v/>
      </c>
      <c r="I188" s="34"/>
      <c r="J188" s="14"/>
    </row>
    <row r="189" hidden="1">
      <c r="A189" s="29" t="str">
        <f>HYPERLINK("https://github.com/pytorch/pytorch/blob/f99ab991dcd3719ee25dd3377a53ea12e518308e/test/test_overrides.py#L1238", "TestGradNewOnesOverride")</f>
        <v>TestGradNewOnesOverride</v>
      </c>
      <c r="B189" s="30" t="s">
        <v>414</v>
      </c>
      <c r="C189" s="30" t="s">
        <v>423</v>
      </c>
      <c r="D189" s="30" t="s">
        <v>64</v>
      </c>
      <c r="E189" s="31" t="s">
        <v>424</v>
      </c>
      <c r="F189" s="33" t="b">
        <f t="shared" ref="F189:G189" si="74">IF(F182=TRUE,TRUE,FALSE)</f>
        <v>1</v>
      </c>
      <c r="G189" s="33" t="b">
        <f t="shared" si="74"/>
        <v>0</v>
      </c>
      <c r="H189" s="34" t="str">
        <f>IF(G189=TRUE,H182,"")</f>
        <v/>
      </c>
      <c r="I189" s="34"/>
      <c r="J189" s="14"/>
    </row>
    <row r="190" hidden="1">
      <c r="A190" s="35" t="str">
        <f>HYPERLINK("https://github.com/pytorch/pytorch/blob/f99ab991dcd3719ee25dd3377a53ea12e518308e/test/test_overrides.py#L1245", "TestPickle")</f>
        <v>TestPickle</v>
      </c>
      <c r="B190" s="25" t="s">
        <v>414</v>
      </c>
      <c r="C190" s="25" t="s">
        <v>425</v>
      </c>
      <c r="D190" s="25" t="s">
        <v>64</v>
      </c>
      <c r="E190" s="36" t="s">
        <v>426</v>
      </c>
      <c r="F190" s="37" t="b">
        <f t="shared" ref="F190:G190" si="75">IF(F182=TRUE,TRUE,FALSE)</f>
        <v>1</v>
      </c>
      <c r="G190" s="37" t="b">
        <f t="shared" si="75"/>
        <v>0</v>
      </c>
      <c r="H190" s="34" t="str">
        <f>IF(G190=TRUE,H182,"")</f>
        <v/>
      </c>
      <c r="I190" s="34"/>
      <c r="J190" s="14"/>
    </row>
    <row r="191" hidden="1">
      <c r="A191" s="29" t="str">
        <f>HYPERLINK("https://github.com/pytorch/pytorch/blob/f99ab991dcd3719ee25dd3377a53ea12e518308e/test/test_overrides.py#L1254", "TestBroadcastAllOverride")</f>
        <v>TestBroadcastAllOverride</v>
      </c>
      <c r="B191" s="30" t="s">
        <v>414</v>
      </c>
      <c r="C191" s="30" t="s">
        <v>427</v>
      </c>
      <c r="D191" s="30" t="s">
        <v>64</v>
      </c>
      <c r="E191" s="31" t="s">
        <v>428</v>
      </c>
      <c r="F191" s="33" t="b">
        <f t="shared" ref="F191:G191" si="76">IF(F182=TRUE,TRUE,FALSE)</f>
        <v>1</v>
      </c>
      <c r="G191" s="33" t="b">
        <f t="shared" si="76"/>
        <v>0</v>
      </c>
      <c r="H191" s="34" t="str">
        <f>IF(G191=TRUE,H182,"")</f>
        <v/>
      </c>
      <c r="I191" s="34"/>
      <c r="J191" s="14"/>
    </row>
    <row r="192" hidden="1">
      <c r="A192" s="35" t="str">
        <f>HYPERLINK("https://github.com/pytorch/pytorch/blob/f99ab991dcd3719ee25dd3377a53ea12e518308e/test/test_overrides.py#L1276", "TestWrapTorchFunction")</f>
        <v>TestWrapTorchFunction</v>
      </c>
      <c r="B192" s="25" t="s">
        <v>414</v>
      </c>
      <c r="C192" s="25" t="s">
        <v>429</v>
      </c>
      <c r="D192" s="25" t="s">
        <v>64</v>
      </c>
      <c r="E192" s="36" t="s">
        <v>430</v>
      </c>
      <c r="F192" s="37" t="b">
        <f t="shared" ref="F192:G192" si="77">IF(F182=TRUE,TRUE,FALSE)</f>
        <v>1</v>
      </c>
      <c r="G192" s="37" t="b">
        <f t="shared" si="77"/>
        <v>0</v>
      </c>
      <c r="H192" s="34" t="str">
        <f>IF(G192=TRUE,H182,"")</f>
        <v/>
      </c>
      <c r="I192" s="34"/>
      <c r="J192" s="14"/>
    </row>
    <row r="193" hidden="1">
      <c r="A193" s="29" t="str">
        <f>HYPERLINK("https://github.com/pytorch/pytorch/blob/f99ab991dcd3719ee25dd3377a53ea12e518308e/test/test_overrides.py#L1292", "TestIndexing")</f>
        <v>TestIndexing</v>
      </c>
      <c r="B193" s="30" t="s">
        <v>414</v>
      </c>
      <c r="C193" s="30" t="s">
        <v>431</v>
      </c>
      <c r="D193" s="30" t="s">
        <v>64</v>
      </c>
      <c r="E193" s="31" t="s">
        <v>432</v>
      </c>
      <c r="F193" s="33" t="b">
        <f t="shared" ref="F193:G193" si="78">IF(F182=TRUE,TRUE,FALSE)</f>
        <v>1</v>
      </c>
      <c r="G193" s="33" t="b">
        <f t="shared" si="78"/>
        <v>0</v>
      </c>
      <c r="H193" s="34" t="str">
        <f>IF(G193=TRUE,H182,"")</f>
        <v/>
      </c>
      <c r="I193" s="34"/>
      <c r="J193" s="14"/>
    </row>
    <row r="194" hidden="1">
      <c r="A194" s="35" t="str">
        <f>HYPERLINK("https://github.com/pytorch/pytorch/blob/f99ab991dcd3719ee25dd3377a53ea12e518308e/test/test_overrides.py#L1360", "TestIterator")</f>
        <v>TestIterator</v>
      </c>
      <c r="B194" s="25" t="s">
        <v>414</v>
      </c>
      <c r="C194" s="25" t="s">
        <v>433</v>
      </c>
      <c r="D194" s="25" t="s">
        <v>64</v>
      </c>
      <c r="E194" s="36" t="s">
        <v>434</v>
      </c>
      <c r="F194" s="37" t="b">
        <f t="shared" ref="F194:G194" si="79">IF(F182=TRUE,TRUE,FALSE)</f>
        <v>1</v>
      </c>
      <c r="G194" s="37" t="b">
        <f t="shared" si="79"/>
        <v>0</v>
      </c>
      <c r="H194" s="34" t="str">
        <f>IF(G194=TRUE,H182,"")</f>
        <v/>
      </c>
      <c r="I194" s="34"/>
      <c r="J194" s="14"/>
    </row>
    <row r="195" hidden="1">
      <c r="A195" s="29" t="str">
        <f>HYPERLINK("https://github.com/pytorch/pytorch/blob/f99ab991dcd3719ee25dd3377a53ea12e518308e/test/test_overrides.py#L1370", "TestRNN")</f>
        <v>TestRNN</v>
      </c>
      <c r="B195" s="30" t="s">
        <v>414</v>
      </c>
      <c r="C195" s="30" t="s">
        <v>435</v>
      </c>
      <c r="D195" s="30" t="s">
        <v>64</v>
      </c>
      <c r="E195" s="31" t="s">
        <v>436</v>
      </c>
      <c r="F195" s="33" t="b">
        <f t="shared" ref="F195:G195" si="80">IF(F182=TRUE,TRUE,FALSE)</f>
        <v>1</v>
      </c>
      <c r="G195" s="33" t="b">
        <f t="shared" si="80"/>
        <v>0</v>
      </c>
      <c r="H195" s="34" t="str">
        <f>IF(G195=TRUE,H182,"")</f>
        <v/>
      </c>
      <c r="I195" s="34"/>
      <c r="J195" s="14"/>
    </row>
    <row r="196" hidden="1">
      <c r="A196" s="35" t="str">
        <f>HYPERLINK("https://github.com/pytorch/pytorch/blob/f99ab991dcd3719ee25dd3377a53ea12e518308e/test/test_overrides.py#L1378", "TestDisabledTorchFunction")</f>
        <v>TestDisabledTorchFunction</v>
      </c>
      <c r="B196" s="25" t="s">
        <v>414</v>
      </c>
      <c r="C196" s="25" t="s">
        <v>437</v>
      </c>
      <c r="D196" s="25" t="s">
        <v>64</v>
      </c>
      <c r="E196" s="36" t="s">
        <v>438</v>
      </c>
      <c r="F196" s="37" t="b">
        <f t="shared" ref="F196:G196" si="81">IF(F182=TRUE,TRUE,FALSE)</f>
        <v>1</v>
      </c>
      <c r="G196" s="37" t="b">
        <f t="shared" si="81"/>
        <v>0</v>
      </c>
      <c r="H196" s="34" t="str">
        <f>IF(G196=TRUE,H182,"")</f>
        <v/>
      </c>
      <c r="I196" s="34"/>
      <c r="J196" s="14"/>
    </row>
    <row r="197" hidden="1">
      <c r="A197" s="29" t="str">
        <f>HYPERLINK("https://github.com/pytorch/pytorch/blob/f99ab991dcd3719ee25dd3377a53ea12e518308e/test/test_overrides.py#L1394", "TestResolveName")</f>
        <v>TestResolveName</v>
      </c>
      <c r="B197" s="30" t="s">
        <v>414</v>
      </c>
      <c r="C197" s="30" t="s">
        <v>439</v>
      </c>
      <c r="D197" s="30" t="s">
        <v>64</v>
      </c>
      <c r="E197" s="31" t="s">
        <v>440</v>
      </c>
      <c r="F197" s="33" t="b">
        <f t="shared" ref="F197:G197" si="82">IF(F182=TRUE,TRUE,FALSE)</f>
        <v>1</v>
      </c>
      <c r="G197" s="33" t="b">
        <f t="shared" si="82"/>
        <v>0</v>
      </c>
      <c r="H197" s="34" t="str">
        <f>IF(G197=TRUE,H182,"")</f>
        <v/>
      </c>
      <c r="I197" s="34"/>
      <c r="J197" s="14"/>
    </row>
    <row r="198" hidden="1">
      <c r="A198" s="35" t="str">
        <f>HYPERLINK("https://github.com/pytorch/pytorch/blob/f99ab991dcd3719ee25dd3377a53ea12e518308e/test/test_overrides.py#L1404", "TestTorchFunctionWarning")</f>
        <v>TestTorchFunctionWarning</v>
      </c>
      <c r="B198" s="25" t="s">
        <v>414</v>
      </c>
      <c r="C198" s="25" t="s">
        <v>441</v>
      </c>
      <c r="D198" s="25" t="s">
        <v>64</v>
      </c>
      <c r="E198" s="36" t="s">
        <v>442</v>
      </c>
      <c r="F198" s="37" t="b">
        <f t="shared" ref="F198:G198" si="83">IF(F182=TRUE,TRUE,FALSE)</f>
        <v>1</v>
      </c>
      <c r="G198" s="37" t="b">
        <f t="shared" si="83"/>
        <v>0</v>
      </c>
      <c r="H198" s="34" t="str">
        <f>IF(G198=TRUE,H182,"")</f>
        <v/>
      </c>
      <c r="I198" s="34"/>
      <c r="J198" s="14"/>
    </row>
    <row r="199" hidden="1">
      <c r="A199" s="29" t="str">
        <f>HYPERLINK("https://github.com/pytorch/pytorch/blob/f99ab991dcd3719ee25dd3377a53ea12e518308e/test/test_overrides.py#L1431", "TestDisabledUserWarnings")</f>
        <v>TestDisabledUserWarnings</v>
      </c>
      <c r="B199" s="30" t="s">
        <v>414</v>
      </c>
      <c r="C199" s="30" t="s">
        <v>443</v>
      </c>
      <c r="D199" s="30" t="s">
        <v>64</v>
      </c>
      <c r="E199" s="31" t="s">
        <v>444</v>
      </c>
      <c r="F199" s="33" t="b">
        <f t="shared" ref="F199:G199" si="84">IF(F182=TRUE,TRUE,FALSE)</f>
        <v>1</v>
      </c>
      <c r="G199" s="33" t="b">
        <f t="shared" si="84"/>
        <v>0</v>
      </c>
      <c r="H199" s="34" t="str">
        <f>IF(G199=TRUE,H182,"")</f>
        <v/>
      </c>
      <c r="I199" s="34"/>
      <c r="J199" s="14"/>
    </row>
    <row r="200" hidden="1">
      <c r="A200" s="35" t="str">
        <f>HYPERLINK("https://github.com/pytorch/pytorch/blob/f99ab991dcd3719ee25dd3377a53ea12e518308e/test/test_overrides.py#L1440", "TestTorchFunctionMode")</f>
        <v>TestTorchFunctionMode</v>
      </c>
      <c r="B200" s="25" t="s">
        <v>414</v>
      </c>
      <c r="C200" s="25" t="s">
        <v>445</v>
      </c>
      <c r="D200" s="25" t="s">
        <v>64</v>
      </c>
      <c r="E200" s="36" t="s">
        <v>446</v>
      </c>
      <c r="F200" s="37" t="b">
        <f t="shared" ref="F200:G200" si="85">IF(F182=TRUE,TRUE,FALSE)</f>
        <v>1</v>
      </c>
      <c r="G200" s="37" t="b">
        <f t="shared" si="85"/>
        <v>0</v>
      </c>
      <c r="H200" s="34" t="str">
        <f>IF(G200=TRUE,H182,"")</f>
        <v/>
      </c>
      <c r="I200" s="34"/>
      <c r="J200" s="14"/>
    </row>
    <row r="201" hidden="1">
      <c r="A201" s="29" t="str">
        <f>HYPERLINK("https://github.com/pytorch/pytorch/blob/f99ab991dcd3719ee25dd3377a53ea12e518308e/test/test_python_dispatch.py#L60", "TestDispatcherPythonBindings")</f>
        <v>TestDispatcherPythonBindings</v>
      </c>
      <c r="B201" s="30" t="s">
        <v>447</v>
      </c>
      <c r="C201" s="30" t="s">
        <v>448</v>
      </c>
      <c r="D201" s="30" t="s">
        <v>64</v>
      </c>
      <c r="E201" s="31" t="s">
        <v>449</v>
      </c>
      <c r="F201" s="33" t="b">
        <f t="shared" ref="F201:G201" si="86">IF(F182=TRUE,TRUE,FALSE)</f>
        <v>1</v>
      </c>
      <c r="G201" s="33" t="b">
        <f t="shared" si="86"/>
        <v>0</v>
      </c>
      <c r="H201" s="34" t="str">
        <f>IF(G201=TRUE,H182,"")</f>
        <v/>
      </c>
      <c r="I201" s="34"/>
      <c r="J201" s="14"/>
    </row>
    <row r="202">
      <c r="A202" s="21" t="str">
        <f>HYPERLINK("https://github.com/pytorch/pytorch/blob/f99ab991dcd3719ee25dd3377a53ea12e518308e/test/test_python_dispatch.py#L68", "TestPythonRegistration")</f>
        <v>TestPythonRegistration</v>
      </c>
      <c r="B202" s="22" t="s">
        <v>447</v>
      </c>
      <c r="C202" s="22" t="s">
        <v>450</v>
      </c>
      <c r="D202" s="22" t="s">
        <v>112</v>
      </c>
      <c r="E202" s="23" t="s">
        <v>451</v>
      </c>
      <c r="F202" s="24" t="b">
        <f>IF(F182=TRUE,TRUE,FALSE)</f>
        <v>1</v>
      </c>
      <c r="G202" s="24" t="b">
        <v>1</v>
      </c>
      <c r="H202" s="26" t="s">
        <v>87</v>
      </c>
      <c r="I202" s="26" t="s">
        <v>45</v>
      </c>
      <c r="J202" s="28" t="s">
        <v>452</v>
      </c>
    </row>
    <row r="203" hidden="1">
      <c r="A203" s="29" t="str">
        <f>HYPERLINK("https://github.com/pytorch/pytorch/blob/f99ab991dcd3719ee25dd3377a53ea12e518308e/test/test_python_dispatch.py#L692", "TestPythonDispatch")</f>
        <v>TestPythonDispatch</v>
      </c>
      <c r="B203" s="30" t="s">
        <v>447</v>
      </c>
      <c r="C203" s="30" t="s">
        <v>453</v>
      </c>
      <c r="D203" s="30" t="s">
        <v>172</v>
      </c>
      <c r="E203" s="31" t="s">
        <v>454</v>
      </c>
      <c r="F203" s="33" t="b">
        <f t="shared" ref="F203:G203" si="87">IF(F182=TRUE,TRUE,FALSE)</f>
        <v>1</v>
      </c>
      <c r="G203" s="33" t="b">
        <f t="shared" si="87"/>
        <v>0</v>
      </c>
      <c r="H203" s="34" t="str">
        <f>IF(G203=TRUE,H182,"")</f>
        <v/>
      </c>
      <c r="I203" s="34"/>
      <c r="J203" s="14"/>
    </row>
    <row r="204" hidden="1">
      <c r="A204" s="35" t="str">
        <f>HYPERLINK("https://github.com/pytorch/pytorch/blob/f99ab991dcd3719ee25dd3377a53ea12e518308e/test/test_python_dispatch.py#L2561", "TestPythonDispatcher")</f>
        <v>TestPythonDispatcher</v>
      </c>
      <c r="B204" s="25" t="s">
        <v>447</v>
      </c>
      <c r="C204" s="25" t="s">
        <v>455</v>
      </c>
      <c r="D204" s="25" t="s">
        <v>64</v>
      </c>
      <c r="E204" s="36" t="s">
        <v>456</v>
      </c>
      <c r="F204" s="37" t="b">
        <f t="shared" ref="F204:G204" si="88">IF(F182=TRUE,TRUE,FALSE)</f>
        <v>1</v>
      </c>
      <c r="G204" s="37" t="b">
        <f t="shared" si="88"/>
        <v>0</v>
      </c>
      <c r="H204" s="34" t="str">
        <f>IF(G204=TRUE,H182,"")</f>
        <v/>
      </c>
      <c r="I204" s="34"/>
      <c r="J204" s="14"/>
    </row>
    <row r="205" hidden="1">
      <c r="A205" s="29" t="str">
        <f>HYPERLINK("https://github.com/pytorch/pytorch/blob/f99ab991dcd3719ee25dd3377a53ea12e518308e/test/test_python_dispatch.py#L2576", "TestWrapperSubclassAliasing")</f>
        <v>TestWrapperSubclassAliasing</v>
      </c>
      <c r="B205" s="30" t="s">
        <v>447</v>
      </c>
      <c r="C205" s="30" t="s">
        <v>457</v>
      </c>
      <c r="D205" s="30" t="s">
        <v>15</v>
      </c>
      <c r="E205" s="31" t="s">
        <v>387</v>
      </c>
      <c r="F205" s="33" t="b">
        <f t="shared" ref="F205:G205" si="89">IF(F182=TRUE,TRUE,FALSE)</f>
        <v>1</v>
      </c>
      <c r="G205" s="33" t="b">
        <f t="shared" si="89"/>
        <v>0</v>
      </c>
      <c r="H205" s="34" t="str">
        <f>IF(G205=TRUE,H182,"")</f>
        <v/>
      </c>
      <c r="I205" s="34"/>
      <c r="J205" s="14"/>
    </row>
    <row r="206" hidden="1">
      <c r="A206" s="9" t="s">
        <v>458</v>
      </c>
      <c r="B206" s="10"/>
      <c r="C206" s="10"/>
      <c r="D206" s="10"/>
      <c r="E206" s="11"/>
      <c r="F206" s="12"/>
      <c r="G206" s="12"/>
      <c r="H206" s="12"/>
      <c r="I206" s="12"/>
      <c r="J206" s="14" t="s">
        <v>459</v>
      </c>
    </row>
    <row r="207" hidden="1">
      <c r="A207" s="15" t="s">
        <v>460</v>
      </c>
      <c r="B207" s="16"/>
      <c r="C207" s="16"/>
      <c r="D207" s="16"/>
      <c r="E207" s="17"/>
      <c r="F207" s="18" t="b">
        <v>1</v>
      </c>
      <c r="G207" s="18" t="b">
        <v>0</v>
      </c>
      <c r="H207" s="56" t="s">
        <v>114</v>
      </c>
      <c r="I207" s="20"/>
      <c r="J207" s="14"/>
    </row>
    <row r="208" hidden="1">
      <c r="A208" s="29" t="str">
        <f>HYPERLINK("https://github.com/pytorch/pytorch/blob/f99ab991dcd3719ee25dd3377a53ea12e518308e/test/test_dataloader.py#L162", "TestDatasetRandomSplit")</f>
        <v>TestDatasetRandomSplit</v>
      </c>
      <c r="B208" s="30" t="s">
        <v>461</v>
      </c>
      <c r="C208" s="30" t="s">
        <v>462</v>
      </c>
      <c r="D208" s="30" t="s">
        <v>64</v>
      </c>
      <c r="E208" s="31" t="s">
        <v>463</v>
      </c>
      <c r="F208" s="33" t="b">
        <f t="shared" ref="F208:G208" si="90">IF(F207=TRUE,TRUE,FALSE)</f>
        <v>1</v>
      </c>
      <c r="G208" s="33" t="b">
        <f t="shared" si="90"/>
        <v>0</v>
      </c>
      <c r="H208" s="34" t="str">
        <f>IF(G208=TRUE,H207,"")</f>
        <v/>
      </c>
      <c r="I208" s="34"/>
      <c r="J208" s="14"/>
    </row>
    <row r="209" hidden="1">
      <c r="A209" s="35" t="str">
        <f>HYPERLINK("https://github.com/pytorch/pytorch/blob/f99ab991dcd3719ee25dd3377a53ea12e518308e/test/test_dataloader.py#L391", "TestTensorDataset")</f>
        <v>TestTensorDataset</v>
      </c>
      <c r="B209" s="25" t="s">
        <v>461</v>
      </c>
      <c r="C209" s="25" t="s">
        <v>464</v>
      </c>
      <c r="D209" s="25" t="s">
        <v>64</v>
      </c>
      <c r="E209" s="36" t="s">
        <v>465</v>
      </c>
      <c r="F209" s="37" t="b">
        <f t="shared" ref="F209:G209" si="91">IF(F207=TRUE,TRUE,FALSE)</f>
        <v>1</v>
      </c>
      <c r="G209" s="37" t="b">
        <f t="shared" si="91"/>
        <v>0</v>
      </c>
      <c r="H209" s="34" t="str">
        <f>IF(G209=TRUE,H207,"")</f>
        <v/>
      </c>
      <c r="I209" s="34"/>
      <c r="J209" s="14"/>
    </row>
    <row r="210" hidden="1">
      <c r="A210" s="29" t="str">
        <f>HYPERLINK("https://github.com/pytorch/pytorch/blob/f99ab991dcd3719ee25dd3377a53ea12e518308e/test/test_dataloader.py#L445", "TestStackDataset")</f>
        <v>TestStackDataset</v>
      </c>
      <c r="B210" s="30" t="s">
        <v>461</v>
      </c>
      <c r="C210" s="30" t="s">
        <v>466</v>
      </c>
      <c r="D210" s="30" t="s">
        <v>64</v>
      </c>
      <c r="E210" s="31" t="s">
        <v>467</v>
      </c>
      <c r="F210" s="33" t="b">
        <f t="shared" ref="F210:G210" si="92">IF(F207=TRUE,TRUE,FALSE)</f>
        <v>1</v>
      </c>
      <c r="G210" s="33" t="b">
        <f t="shared" si="92"/>
        <v>0</v>
      </c>
      <c r="H210" s="34" t="str">
        <f>IF(G210=TRUE,H207,"")</f>
        <v/>
      </c>
      <c r="I210" s="34"/>
      <c r="J210" s="14"/>
    </row>
    <row r="211" hidden="1">
      <c r="A211" s="35" t="str">
        <f>HYPERLINK("https://github.com/pytorch/pytorch/blob/f99ab991dcd3719ee25dd3377a53ea12e518308e/test/test_dataloader.py#L585", "TestConcatDataset")</f>
        <v>TestConcatDataset</v>
      </c>
      <c r="B211" s="25" t="s">
        <v>461</v>
      </c>
      <c r="C211" s="25" t="s">
        <v>468</v>
      </c>
      <c r="D211" s="25" t="s">
        <v>64</v>
      </c>
      <c r="E211" s="36" t="s">
        <v>469</v>
      </c>
      <c r="F211" s="37" t="b">
        <f t="shared" ref="F211:G211" si="93">IF(F207=TRUE,TRUE,FALSE)</f>
        <v>1</v>
      </c>
      <c r="G211" s="37" t="b">
        <f t="shared" si="93"/>
        <v>0</v>
      </c>
      <c r="H211" s="34" t="str">
        <f>IF(G211=TRUE,H207,"")</f>
        <v/>
      </c>
      <c r="I211" s="34"/>
      <c r="J211" s="14"/>
    </row>
    <row r="212" hidden="1">
      <c r="A212" s="29" t="str">
        <f>HYPERLINK("https://github.com/pytorch/pytorch/blob/f99ab991dcd3719ee25dd3377a53ea12e518308e/test/test_dataloader.py#L1232", "TestDataLoader")</f>
        <v>TestDataLoader</v>
      </c>
      <c r="B212" s="30" t="s">
        <v>461</v>
      </c>
      <c r="C212" s="30" t="s">
        <v>470</v>
      </c>
      <c r="D212" s="30" t="s">
        <v>64</v>
      </c>
      <c r="E212" s="31" t="s">
        <v>471</v>
      </c>
      <c r="F212" s="33" t="b">
        <f t="shared" ref="F212:G212" si="94">IF(F207=TRUE,TRUE,FALSE)</f>
        <v>1</v>
      </c>
      <c r="G212" s="33" t="b">
        <f t="shared" si="94"/>
        <v>0</v>
      </c>
      <c r="H212" s="34" t="str">
        <f>IF(G212=TRUE,H207,"")</f>
        <v/>
      </c>
      <c r="I212" s="34"/>
      <c r="J212" s="14"/>
    </row>
    <row r="213">
      <c r="A213" s="21" t="str">
        <f>HYPERLINK("https://github.com/pytorch/pytorch/blob/f99ab991dcd3719ee25dd3377a53ea12e518308e/test/test_dataloader.py#L3075", "TestDataLoaderDeviceType")</f>
        <v>TestDataLoaderDeviceType</v>
      </c>
      <c r="B213" s="22" t="s">
        <v>461</v>
      </c>
      <c r="C213" s="22" t="s">
        <v>472</v>
      </c>
      <c r="D213" s="22" t="s">
        <v>15</v>
      </c>
      <c r="E213" s="23" t="s">
        <v>473</v>
      </c>
      <c r="F213" s="24" t="b">
        <f>IF(F207=TRUE,TRUE,FALSE)</f>
        <v>1</v>
      </c>
      <c r="G213" s="44" t="b">
        <v>1</v>
      </c>
      <c r="H213" s="22" t="str">
        <f>IF(G213=TRUE,H207,"")</f>
        <v>High</v>
      </c>
      <c r="I213" s="57" t="s">
        <v>17</v>
      </c>
      <c r="J213" s="58" t="s">
        <v>474</v>
      </c>
      <c r="K213" s="59"/>
      <c r="L213" s="59"/>
      <c r="M213" s="59"/>
      <c r="N213" s="59"/>
      <c r="O213" s="59"/>
      <c r="P213" s="59"/>
      <c r="Q213" s="59"/>
      <c r="R213" s="59"/>
      <c r="S213" s="59"/>
      <c r="T213" s="59"/>
      <c r="U213" s="59"/>
      <c r="V213" s="59"/>
      <c r="W213" s="59"/>
      <c r="X213" s="59"/>
      <c r="Y213" s="59"/>
      <c r="Z213" s="59"/>
    </row>
    <row r="214" hidden="1">
      <c r="A214" s="29" t="str">
        <f>HYPERLINK("https://github.com/pytorch/pytorch/blob/f99ab991dcd3719ee25dd3377a53ea12e518308e/test/test_dataloader.py#L3156", "IntegrationTestDataLoaderDataPipe")</f>
        <v>IntegrationTestDataLoaderDataPipe</v>
      </c>
      <c r="B214" s="30" t="s">
        <v>461</v>
      </c>
      <c r="C214" s="30" t="s">
        <v>475</v>
      </c>
      <c r="D214" s="30" t="s">
        <v>64</v>
      </c>
      <c r="E214" s="31" t="s">
        <v>476</v>
      </c>
      <c r="F214" s="33" t="b">
        <f t="shared" ref="F214:G214" si="95">IF(F207=TRUE,TRUE,FALSE)</f>
        <v>1</v>
      </c>
      <c r="G214" s="33" t="b">
        <f t="shared" si="95"/>
        <v>0</v>
      </c>
      <c r="H214" s="34" t="str">
        <f>IF(G214=TRUE,H207,"")</f>
        <v/>
      </c>
      <c r="I214" s="34"/>
      <c r="J214" s="14"/>
    </row>
    <row r="215">
      <c r="A215" s="21" t="str">
        <f>HYPERLINK("https://github.com/pytorch/pytorch/blob/f99ab991dcd3719ee25dd3377a53ea12e518308e/test/test_dataloader.py#L3231", "TestStringDataLoader")</f>
        <v>TestStringDataLoader</v>
      </c>
      <c r="B215" s="22" t="s">
        <v>461</v>
      </c>
      <c r="C215" s="22" t="s">
        <v>477</v>
      </c>
      <c r="D215" s="22" t="s">
        <v>284</v>
      </c>
      <c r="E215" s="23" t="s">
        <v>478</v>
      </c>
      <c r="F215" s="24" t="b">
        <f>IF(F207=TRUE,TRUE,FALSE)</f>
        <v>1</v>
      </c>
      <c r="G215" s="24" t="b">
        <v>1</v>
      </c>
      <c r="H215" s="25" t="str">
        <f>IF(G215=TRUE,H207,"")</f>
        <v>High</v>
      </c>
      <c r="I215" s="57" t="s">
        <v>17</v>
      </c>
      <c r="J215" s="27" t="s">
        <v>474</v>
      </c>
    </row>
    <row r="216">
      <c r="A216" s="21" t="str">
        <f>HYPERLINK("https://github.com/pytorch/pytorch/blob/f99ab991dcd3719ee25dd3377a53ea12e518308e/test/test_dataloader.py#L3262", "TestDictDataLoader")</f>
        <v>TestDictDataLoader</v>
      </c>
      <c r="B216" s="22" t="s">
        <v>461</v>
      </c>
      <c r="C216" s="22" t="s">
        <v>479</v>
      </c>
      <c r="D216" s="22" t="s">
        <v>284</v>
      </c>
      <c r="E216" s="23" t="s">
        <v>480</v>
      </c>
      <c r="F216" s="24" t="b">
        <f>IF(F207=TRUE,TRUE,FALSE)</f>
        <v>1</v>
      </c>
      <c r="G216" s="24" t="b">
        <v>1</v>
      </c>
      <c r="H216" s="25" t="str">
        <f>IF(G216=TRUE,H207,"")</f>
        <v>High</v>
      </c>
      <c r="I216" s="57" t="s">
        <v>17</v>
      </c>
      <c r="J216" s="27" t="s">
        <v>474</v>
      </c>
    </row>
    <row r="217" hidden="1">
      <c r="A217" s="35" t="str">
        <f>HYPERLINK("https://github.com/pytorch/pytorch/blob/f99ab991dcd3719ee25dd3377a53ea12e518308e/test/test_dataloader.py#L3356", "TestDataLoaderPersistentWorkers")</f>
        <v>TestDataLoaderPersistentWorkers</v>
      </c>
      <c r="B217" s="25" t="s">
        <v>461</v>
      </c>
      <c r="C217" s="25" t="s">
        <v>481</v>
      </c>
      <c r="D217" s="25" t="s">
        <v>64</v>
      </c>
      <c r="E217" s="36" t="s">
        <v>482</v>
      </c>
      <c r="F217" s="37" t="b">
        <f t="shared" ref="F217:G217" si="96">IF(F207=TRUE,TRUE,FALSE)</f>
        <v>1</v>
      </c>
      <c r="G217" s="37" t="b">
        <f t="shared" si="96"/>
        <v>0</v>
      </c>
      <c r="H217" s="34" t="str">
        <f>IF(G217=TRUE,H207,"")</f>
        <v/>
      </c>
      <c r="I217" s="34"/>
      <c r="J217" s="14"/>
    </row>
    <row r="218">
      <c r="A218" s="21" t="str">
        <f>HYPERLINK("https://github.com/pytorch/pytorch/blob/f99ab991dcd3719ee25dd3377a53ea12e518308e/test/test_dataloader.py#L3490", "TestNamedTupleDataLoader")</f>
        <v>TestNamedTupleDataLoader</v>
      </c>
      <c r="B218" s="22" t="s">
        <v>461</v>
      </c>
      <c r="C218" s="22" t="s">
        <v>483</v>
      </c>
      <c r="D218" s="22" t="s">
        <v>284</v>
      </c>
      <c r="E218" s="23" t="s">
        <v>484</v>
      </c>
      <c r="F218" s="24" t="b">
        <f>IF(F207=TRUE,TRUE,FALSE)</f>
        <v>1</v>
      </c>
      <c r="G218" s="24" t="b">
        <v>1</v>
      </c>
      <c r="H218" s="25" t="str">
        <f>IF(G218=TRUE,H207,"")</f>
        <v>High</v>
      </c>
      <c r="I218" s="57" t="s">
        <v>17</v>
      </c>
      <c r="J218" s="27" t="s">
        <v>474</v>
      </c>
    </row>
    <row r="219">
      <c r="A219" s="21" t="str">
        <f>HYPERLINK("https://github.com/pytorch/pytorch/blob/f99ab991dcd3719ee25dd3377a53ea12e518308e/test/test_dataloader.py#L3559", "TestCustomPinFn")</f>
        <v>TestCustomPinFn</v>
      </c>
      <c r="B219" s="22" t="s">
        <v>461</v>
      </c>
      <c r="C219" s="22" t="s">
        <v>485</v>
      </c>
      <c r="D219" s="22" t="s">
        <v>284</v>
      </c>
      <c r="E219" s="23" t="s">
        <v>486</v>
      </c>
      <c r="F219" s="24" t="b">
        <f>IF(F207=TRUE,TRUE,FALSE)</f>
        <v>1</v>
      </c>
      <c r="G219" s="24" t="b">
        <v>1</v>
      </c>
      <c r="H219" s="25" t="str">
        <f>IF(G219=TRUE,H207,"")</f>
        <v>High</v>
      </c>
      <c r="I219" s="57" t="s">
        <v>17</v>
      </c>
      <c r="J219" s="27" t="s">
        <v>474</v>
      </c>
    </row>
    <row r="220" hidden="1">
      <c r="A220" s="29" t="str">
        <f>HYPERLINK("https://github.com/pytorch/pytorch/blob/f99ab991dcd3719ee25dd3377a53ea12e518308e/test/test_dataloader.py#L3627", "TestIndividualWorkerQueue")</f>
        <v>TestIndividualWorkerQueue</v>
      </c>
      <c r="B220" s="30" t="s">
        <v>461</v>
      </c>
      <c r="C220" s="30" t="s">
        <v>487</v>
      </c>
      <c r="D220" s="30" t="s">
        <v>64</v>
      </c>
      <c r="E220" s="31" t="s">
        <v>488</v>
      </c>
      <c r="F220" s="33" t="b">
        <f t="shared" ref="F220:G220" si="97">IF(F207=TRUE,TRUE,FALSE)</f>
        <v>1</v>
      </c>
      <c r="G220" s="33" t="b">
        <f t="shared" si="97"/>
        <v>0</v>
      </c>
      <c r="H220" s="34" t="str">
        <f>IF(G220=TRUE,H207,"")</f>
        <v/>
      </c>
      <c r="I220" s="34"/>
      <c r="J220" s="14"/>
    </row>
    <row r="221" hidden="1">
      <c r="A221" s="35" t="str">
        <f>HYPERLINK("https://github.com/pytorch/pytorch/blob/f99ab991dcd3719ee25dd3377a53ea12e518308e/test/test_dataloader.py#L3686", "TestSetAffinity")</f>
        <v>TestSetAffinity</v>
      </c>
      <c r="B221" s="25" t="s">
        <v>461</v>
      </c>
      <c r="C221" s="25" t="s">
        <v>489</v>
      </c>
      <c r="D221" s="26" t="s">
        <v>490</v>
      </c>
      <c r="E221" s="36" t="s">
        <v>491</v>
      </c>
      <c r="F221" s="37" t="b">
        <f t="shared" ref="F221:G221" si="98">IF(F207=TRUE,TRUE,FALSE)</f>
        <v>1</v>
      </c>
      <c r="G221" s="37" t="b">
        <f t="shared" si="98"/>
        <v>0</v>
      </c>
      <c r="H221" s="34" t="str">
        <f>IF(G221=TRUE,H207,"")</f>
        <v/>
      </c>
      <c r="I221" s="34"/>
      <c r="J221" s="14"/>
    </row>
    <row r="222" hidden="1">
      <c r="A222" s="29" t="str">
        <f>HYPERLINK("https://github.com/pytorch/pytorch/blob/f99ab991dcd3719ee25dd3377a53ea12e518308e/test/test_dataloader.py#L3721", "TestConvAfterFork")</f>
        <v>TestConvAfterFork</v>
      </c>
      <c r="B222" s="30" t="s">
        <v>461</v>
      </c>
      <c r="C222" s="30" t="s">
        <v>492</v>
      </c>
      <c r="D222" s="30" t="s">
        <v>64</v>
      </c>
      <c r="E222" s="31" t="s">
        <v>493</v>
      </c>
      <c r="F222" s="33" t="b">
        <f t="shared" ref="F222:G222" si="99">IF(F207=TRUE,TRUE,FALSE)</f>
        <v>1</v>
      </c>
      <c r="G222" s="33" t="b">
        <f t="shared" si="99"/>
        <v>0</v>
      </c>
      <c r="H222" s="34" t="str">
        <f>IF(G222=TRUE,H207,"")</f>
        <v/>
      </c>
      <c r="I222" s="34"/>
      <c r="J222" s="14"/>
    </row>
    <row r="223" hidden="1">
      <c r="A223" s="35" t="str">
        <f>HYPERLINK("https://github.com/pytorch/pytorch/blob/f99ab991dcd3719ee25dd3377a53ea12e518308e/test/test_dataloader.py#L3770", "TestOutOfOrderDataLoader")</f>
        <v>TestOutOfOrderDataLoader</v>
      </c>
      <c r="B223" s="25" t="s">
        <v>461</v>
      </c>
      <c r="C223" s="25" t="s">
        <v>494</v>
      </c>
      <c r="D223" s="25" t="s">
        <v>64</v>
      </c>
      <c r="E223" s="36" t="s">
        <v>495</v>
      </c>
      <c r="F223" s="37" t="b">
        <f t="shared" ref="F223:G223" si="100">IF(F207=TRUE,TRUE,FALSE)</f>
        <v>1</v>
      </c>
      <c r="G223" s="37" t="b">
        <f t="shared" si="100"/>
        <v>0</v>
      </c>
      <c r="H223" s="34" t="str">
        <f>IF(G223=TRUE,H207,"")</f>
        <v/>
      </c>
      <c r="I223" s="34"/>
      <c r="J223" s="14"/>
    </row>
    <row r="224" hidden="1">
      <c r="A224" s="29" t="str">
        <f>HYPERLINK("https://github.com/pytorch/pytorch/blob/f99ab991dcd3719ee25dd3377a53ea12e518308e/test/test_datapipe.py#L140", "TestDataChunk")</f>
        <v>TestDataChunk</v>
      </c>
      <c r="B224" s="30" t="s">
        <v>496</v>
      </c>
      <c r="C224" s="30" t="s">
        <v>497</v>
      </c>
      <c r="D224" s="30" t="s">
        <v>64</v>
      </c>
      <c r="E224" s="31" t="s">
        <v>498</v>
      </c>
      <c r="F224" s="33" t="b">
        <f t="shared" ref="F224:G224" si="101">IF(F207=TRUE,TRUE,FALSE)</f>
        <v>1</v>
      </c>
      <c r="G224" s="33" t="b">
        <f t="shared" si="101"/>
        <v>0</v>
      </c>
      <c r="H224" s="34" t="str">
        <f>IF(G224=TRUE,H207,"")</f>
        <v/>
      </c>
      <c r="I224" s="34"/>
      <c r="J224" s="14"/>
    </row>
    <row r="225" hidden="1">
      <c r="A225" s="35" t="str">
        <f>HYPERLINK("https://github.com/pytorch/pytorch/blob/f99ab991dcd3719ee25dd3377a53ea12e518308e/test/test_datapipe.py#L191", "TestStreamWrapper")</f>
        <v>TestStreamWrapper</v>
      </c>
      <c r="B225" s="25" t="s">
        <v>496</v>
      </c>
      <c r="C225" s="25" t="s">
        <v>499</v>
      </c>
      <c r="D225" s="25" t="s">
        <v>64</v>
      </c>
      <c r="E225" s="36" t="s">
        <v>500</v>
      </c>
      <c r="F225" s="37" t="b">
        <f t="shared" ref="F225:G225" si="102">IF(F207=TRUE,TRUE,FALSE)</f>
        <v>1</v>
      </c>
      <c r="G225" s="37" t="b">
        <f t="shared" si="102"/>
        <v>0</v>
      </c>
      <c r="H225" s="34" t="str">
        <f>IF(G225=TRUE,H207,"")</f>
        <v/>
      </c>
      <c r="I225" s="34"/>
      <c r="J225" s="14"/>
    </row>
    <row r="226" hidden="1">
      <c r="A226" s="29" t="str">
        <f>HYPERLINK("https://github.com/pytorch/pytorch/blob/f99ab991dcd3719ee25dd3377a53ea12e518308e/test/test_datapipe.py#L271", "TestIterableDataPipeBasic")</f>
        <v>TestIterableDataPipeBasic</v>
      </c>
      <c r="B226" s="30" t="s">
        <v>496</v>
      </c>
      <c r="C226" s="30" t="s">
        <v>501</v>
      </c>
      <c r="D226" s="30" t="s">
        <v>64</v>
      </c>
      <c r="E226" s="31" t="s">
        <v>502</v>
      </c>
      <c r="F226" s="33" t="b">
        <f t="shared" ref="F226:G226" si="103">IF(F207=TRUE,TRUE,FALSE)</f>
        <v>1</v>
      </c>
      <c r="G226" s="33" t="b">
        <f t="shared" si="103"/>
        <v>0</v>
      </c>
      <c r="H226" s="34" t="str">
        <f>IF(G226=TRUE,H207,"")</f>
        <v/>
      </c>
      <c r="I226" s="34"/>
      <c r="J226" s="14"/>
    </row>
    <row r="227" hidden="1">
      <c r="A227" s="35" t="str">
        <f>HYPERLINK("https://github.com/pytorch/pytorch/blob/f99ab991dcd3719ee25dd3377a53ea12e518308e/test/test_datapipe.py#L550", "TestCaptureDataFrame")</f>
        <v>TestCaptureDataFrame</v>
      </c>
      <c r="B227" s="25" t="s">
        <v>496</v>
      </c>
      <c r="C227" s="25" t="s">
        <v>503</v>
      </c>
      <c r="D227" s="25" t="s">
        <v>64</v>
      </c>
      <c r="E227" s="36" t="s">
        <v>504</v>
      </c>
      <c r="F227" s="37" t="b">
        <f t="shared" ref="F227:G227" si="104">IF(F207=TRUE,TRUE,FALSE)</f>
        <v>1</v>
      </c>
      <c r="G227" s="37" t="b">
        <f t="shared" si="104"/>
        <v>0</v>
      </c>
      <c r="H227" s="34" t="str">
        <f>IF(G227=TRUE,H207,"")</f>
        <v/>
      </c>
      <c r="I227" s="34"/>
      <c r="J227" s="14"/>
    </row>
    <row r="228" hidden="1">
      <c r="A228" s="29" t="str">
        <f>HYPERLINK("https://github.com/pytorch/pytorch/blob/f99ab991dcd3719ee25dd3377a53ea12e518308e/test/test_datapipe.py#L574", "TestDataFramesPipes")</f>
        <v>TestDataFramesPipes</v>
      </c>
      <c r="B228" s="30" t="s">
        <v>496</v>
      </c>
      <c r="C228" s="30" t="s">
        <v>505</v>
      </c>
      <c r="D228" s="30" t="s">
        <v>64</v>
      </c>
      <c r="E228" s="31" t="s">
        <v>506</v>
      </c>
      <c r="F228" s="33" t="b">
        <f t="shared" ref="F228:G228" si="105">IF(F207=TRUE,TRUE,FALSE)</f>
        <v>1</v>
      </c>
      <c r="G228" s="33" t="b">
        <f t="shared" si="105"/>
        <v>0</v>
      </c>
      <c r="H228" s="34" t="str">
        <f>IF(G228=TRUE,H207,"")</f>
        <v/>
      </c>
      <c r="I228" s="34"/>
      <c r="J228" s="14"/>
    </row>
    <row r="229" hidden="1">
      <c r="A229" s="35" t="str">
        <f>HYPERLINK("https://github.com/pytorch/pytorch/blob/f99ab991dcd3719ee25dd3377a53ea12e518308e/test/test_datapipe.py#L733", "TestFunctionalIterDataPipe")</f>
        <v>TestFunctionalIterDataPipe</v>
      </c>
      <c r="B229" s="25" t="s">
        <v>496</v>
      </c>
      <c r="C229" s="25" t="s">
        <v>507</v>
      </c>
      <c r="D229" s="25" t="s">
        <v>64</v>
      </c>
      <c r="E229" s="36" t="s">
        <v>508</v>
      </c>
      <c r="F229" s="37" t="b">
        <f t="shared" ref="F229:G229" si="106">IF(F207=TRUE,TRUE,FALSE)</f>
        <v>1</v>
      </c>
      <c r="G229" s="37" t="b">
        <f t="shared" si="106"/>
        <v>0</v>
      </c>
      <c r="H229" s="34" t="str">
        <f>IF(G229=TRUE,H207,"")</f>
        <v/>
      </c>
      <c r="I229" s="34"/>
      <c r="J229" s="14"/>
    </row>
    <row r="230" hidden="1">
      <c r="A230" s="29" t="str">
        <f>HYPERLINK("https://github.com/pytorch/pytorch/blob/f99ab991dcd3719ee25dd3377a53ea12e518308e/test/test_datapipe.py#L2084", "TestFunctionalMapDataPipe")</f>
        <v>TestFunctionalMapDataPipe</v>
      </c>
      <c r="B230" s="30" t="s">
        <v>496</v>
      </c>
      <c r="C230" s="30" t="s">
        <v>509</v>
      </c>
      <c r="D230" s="30" t="s">
        <v>64</v>
      </c>
      <c r="E230" s="31" t="s">
        <v>510</v>
      </c>
      <c r="F230" s="33" t="b">
        <f t="shared" ref="F230:G230" si="107">IF(F207=TRUE,TRUE,FALSE)</f>
        <v>1</v>
      </c>
      <c r="G230" s="33" t="b">
        <f t="shared" si="107"/>
        <v>0</v>
      </c>
      <c r="H230" s="34" t="str">
        <f>IF(G230=TRUE,H207,"")</f>
        <v/>
      </c>
      <c r="I230" s="34"/>
      <c r="J230" s="14"/>
    </row>
    <row r="231" hidden="1">
      <c r="A231" s="35" t="str">
        <f>HYPERLINK("https://github.com/pytorch/pytorch/blob/f99ab991dcd3719ee25dd3377a53ea12e518308e/test/test_datapipe.py#L2397", "TestTyping")</f>
        <v>TestTyping</v>
      </c>
      <c r="B231" s="25" t="s">
        <v>496</v>
      </c>
      <c r="C231" s="25" t="s">
        <v>511</v>
      </c>
      <c r="D231" s="25" t="s">
        <v>64</v>
      </c>
      <c r="E231" s="36" t="s">
        <v>512</v>
      </c>
      <c r="F231" s="37" t="b">
        <f t="shared" ref="F231:G231" si="108">IF(F207=TRUE,TRUE,FALSE)</f>
        <v>1</v>
      </c>
      <c r="G231" s="37" t="b">
        <f t="shared" si="108"/>
        <v>0</v>
      </c>
      <c r="H231" s="34" t="str">
        <f>IF(G231=TRUE,H207,"")</f>
        <v/>
      </c>
      <c r="I231" s="34"/>
      <c r="J231" s="14"/>
    </row>
    <row r="232" hidden="1">
      <c r="A232" s="29" t="str">
        <f>HYPERLINK("https://github.com/pytorch/pytorch/blob/f99ab991dcd3719ee25dd3377a53ea12e518308e/test/test_datapipe.py#L2745", "TestGraph")</f>
        <v>TestGraph</v>
      </c>
      <c r="B232" s="30" t="s">
        <v>496</v>
      </c>
      <c r="C232" s="30" t="s">
        <v>513</v>
      </c>
      <c r="D232" s="30" t="s">
        <v>64</v>
      </c>
      <c r="E232" s="31" t="s">
        <v>514</v>
      </c>
      <c r="F232" s="33" t="b">
        <f t="shared" ref="F232:G232" si="109">IF(F207=TRUE,TRUE,FALSE)</f>
        <v>1</v>
      </c>
      <c r="G232" s="33" t="b">
        <f t="shared" si="109"/>
        <v>0</v>
      </c>
      <c r="H232" s="34" t="str">
        <f>IF(G232=TRUE,H207,"")</f>
        <v/>
      </c>
      <c r="I232" s="34"/>
      <c r="J232" s="14"/>
    </row>
    <row r="233" hidden="1">
      <c r="A233" s="35" t="str">
        <f>HYPERLINK("https://github.com/pytorch/pytorch/blob/f99ab991dcd3719ee25dd3377a53ea12e518308e/test/test_datapipe.py#L2936", "TestSerialization")</f>
        <v>TestSerialization</v>
      </c>
      <c r="B233" s="25" t="s">
        <v>496</v>
      </c>
      <c r="C233" s="25" t="s">
        <v>515</v>
      </c>
      <c r="D233" s="25" t="s">
        <v>64</v>
      </c>
      <c r="E233" s="36" t="s">
        <v>516</v>
      </c>
      <c r="F233" s="37" t="b">
        <f t="shared" ref="F233:G233" si="110">IF(F207=TRUE,TRUE,FALSE)</f>
        <v>1</v>
      </c>
      <c r="G233" s="37" t="b">
        <f t="shared" si="110"/>
        <v>0</v>
      </c>
      <c r="H233" s="34" t="str">
        <f>IF(G233=TRUE,H207,"")</f>
        <v/>
      </c>
      <c r="I233" s="34"/>
      <c r="J233" s="14"/>
    </row>
    <row r="234" hidden="1">
      <c r="A234" s="29" t="str">
        <f>HYPERLINK("https://github.com/pytorch/pytorch/blob/f99ab991dcd3719ee25dd3377a53ea12e518308e/test/test_datapipe.py#L2966", "TestCircularSerialization")</f>
        <v>TestCircularSerialization</v>
      </c>
      <c r="B234" s="30" t="s">
        <v>496</v>
      </c>
      <c r="C234" s="30" t="s">
        <v>517</v>
      </c>
      <c r="D234" s="30" t="s">
        <v>64</v>
      </c>
      <c r="E234" s="31" t="s">
        <v>518</v>
      </c>
      <c r="F234" s="33" t="b">
        <f t="shared" ref="F234:G234" si="111">IF(F207=TRUE,TRUE,FALSE)</f>
        <v>1</v>
      </c>
      <c r="G234" s="33" t="b">
        <f t="shared" si="111"/>
        <v>0</v>
      </c>
      <c r="H234" s="34" t="str">
        <f>IF(G234=TRUE,H207,"")</f>
        <v/>
      </c>
      <c r="I234" s="34"/>
      <c r="J234" s="14"/>
    </row>
    <row r="235" hidden="1">
      <c r="A235" s="35" t="str">
        <f>HYPERLINK("https://github.com/pytorch/pytorch/blob/f99ab991dcd3719ee25dd3377a53ea12e518308e/test/test_datapipe.py#L3294", "TestSharding")</f>
        <v>TestSharding</v>
      </c>
      <c r="B235" s="25" t="s">
        <v>496</v>
      </c>
      <c r="C235" s="25" t="s">
        <v>519</v>
      </c>
      <c r="D235" s="25" t="s">
        <v>64</v>
      </c>
      <c r="E235" s="36" t="s">
        <v>520</v>
      </c>
      <c r="F235" s="37" t="b">
        <f t="shared" ref="F235:G235" si="112">IF(F207=TRUE,TRUE,FALSE)</f>
        <v>1</v>
      </c>
      <c r="G235" s="37" t="b">
        <f t="shared" si="112"/>
        <v>0</v>
      </c>
      <c r="H235" s="34" t="str">
        <f>IF(G235=TRUE,H207,"")</f>
        <v/>
      </c>
      <c r="I235" s="34"/>
      <c r="J235" s="14"/>
    </row>
    <row r="236" hidden="1">
      <c r="A236" s="29" t="str">
        <f>HYPERLINK("https://github.com/pytorch/pytorch/blob/f99ab991dcd3719ee25dd3377a53ea12e518308e/test/test_datapipe.py#L3461", "TestIterDataPipeSingletonConstraint")</f>
        <v>TestIterDataPipeSingletonConstraint</v>
      </c>
      <c r="B236" s="30" t="s">
        <v>496</v>
      </c>
      <c r="C236" s="30" t="s">
        <v>521</v>
      </c>
      <c r="D236" s="30" t="s">
        <v>64</v>
      </c>
      <c r="E236" s="31" t="s">
        <v>522</v>
      </c>
      <c r="F236" s="33" t="b">
        <f t="shared" ref="F236:G236" si="113">IF(F207=TRUE,TRUE,FALSE)</f>
        <v>1</v>
      </c>
      <c r="G236" s="33" t="b">
        <f t="shared" si="113"/>
        <v>0</v>
      </c>
      <c r="H236" s="34" t="str">
        <f>IF(G236=TRUE,H207,"")</f>
        <v/>
      </c>
      <c r="I236" s="34"/>
      <c r="J236" s="14"/>
    </row>
    <row r="237" hidden="1">
      <c r="A237" s="35" t="str">
        <f>HYPERLINK("https://github.com/pytorch/pytorch/blob/f99ab991dcd3719ee25dd3377a53ea12e518308e/test/test_datapipe.py#L3705", "TestIterDataPipeCountSampleYielded")</f>
        <v>TestIterDataPipeCountSampleYielded</v>
      </c>
      <c r="B237" s="25" t="s">
        <v>496</v>
      </c>
      <c r="C237" s="25" t="s">
        <v>523</v>
      </c>
      <c r="D237" s="25" t="s">
        <v>64</v>
      </c>
      <c r="E237" s="36" t="s">
        <v>524</v>
      </c>
      <c r="F237" s="37" t="b">
        <f t="shared" ref="F237:G237" si="114">IF(F207=TRUE,TRUE,FALSE)</f>
        <v>1</v>
      </c>
      <c r="G237" s="37" t="b">
        <f t="shared" si="114"/>
        <v>0</v>
      </c>
      <c r="H237" s="34" t="str">
        <f>IF(G237=TRUE,H207,"")</f>
        <v/>
      </c>
      <c r="I237" s="34"/>
      <c r="J237" s="14"/>
    </row>
    <row r="238" hidden="1">
      <c r="A238" s="29" t="str">
        <f>HYPERLINK("https://github.com/pytorch/pytorch/blob/f99ab991dcd3719ee25dd3377a53ea12e518308e/test/test_datapipe.py#L3858", "TestIterDataPipeGraphFastForward")</f>
        <v>TestIterDataPipeGraphFastForward</v>
      </c>
      <c r="B238" s="30" t="s">
        <v>496</v>
      </c>
      <c r="C238" s="30" t="s">
        <v>525</v>
      </c>
      <c r="D238" s="30" t="s">
        <v>64</v>
      </c>
      <c r="E238" s="31" t="s">
        <v>526</v>
      </c>
      <c r="F238" s="33" t="b">
        <f t="shared" ref="F238:G238" si="115">IF(F207=TRUE,TRUE,FALSE)</f>
        <v>1</v>
      </c>
      <c r="G238" s="33" t="b">
        <f t="shared" si="115"/>
        <v>0</v>
      </c>
      <c r="H238" s="34" t="str">
        <f>IF(G238=TRUE,H207,"")</f>
        <v/>
      </c>
      <c r="I238" s="34"/>
      <c r="J238" s="14"/>
    </row>
    <row r="239" hidden="1">
      <c r="A239" s="9" t="s">
        <v>527</v>
      </c>
      <c r="B239" s="10"/>
      <c r="C239" s="10"/>
      <c r="D239" s="10"/>
      <c r="E239" s="11"/>
      <c r="F239" s="12"/>
      <c r="G239" s="12"/>
      <c r="H239" s="12"/>
      <c r="I239" s="12"/>
      <c r="J239" s="14"/>
    </row>
    <row r="240" hidden="1">
      <c r="A240" s="60" t="s">
        <v>528</v>
      </c>
      <c r="B240" s="61"/>
      <c r="C240" s="61"/>
      <c r="D240" s="61"/>
      <c r="E240" s="62"/>
      <c r="F240" s="63" t="s">
        <v>310</v>
      </c>
      <c r="G240" s="63" t="s">
        <v>310</v>
      </c>
      <c r="H240" s="51"/>
      <c r="I240" s="51"/>
      <c r="J240" s="64" t="s">
        <v>529</v>
      </c>
    </row>
    <row r="241" hidden="1">
      <c r="A241" s="50" t="str">
        <f>HYPERLINK("https://github.com/pytorch/pytorch/blob/f99ab991dcd3719ee25dd3377a53ea12e518308e/test/test_cpp_api_parity.py#L33", "TestCppApiParity")</f>
        <v>TestCppApiParity</v>
      </c>
      <c r="B241" s="51" t="s">
        <v>530</v>
      </c>
      <c r="C241" s="51" t="s">
        <v>531</v>
      </c>
      <c r="D241" s="51" t="s">
        <v>112</v>
      </c>
      <c r="E241" s="52" t="s">
        <v>532</v>
      </c>
      <c r="F241" s="53" t="s">
        <v>310</v>
      </c>
      <c r="G241" s="53" t="s">
        <v>310</v>
      </c>
      <c r="H241" s="51" t="str">
        <f>IF(G241=TRUE,H240,"")</f>
        <v/>
      </c>
      <c r="I241" s="65" t="s">
        <v>533</v>
      </c>
      <c r="J241" s="14"/>
    </row>
    <row r="242" hidden="1">
      <c r="A242" s="50" t="str">
        <f>HYPERLINK("https://github.com/pytorch/pytorch/blob/f99ab991dcd3719ee25dd3377a53ea12e518308e/test/test_cpp_extensions_aot.py#L48", "TestCppExtensionAOT")</f>
        <v>TestCppExtensionAOT</v>
      </c>
      <c r="B242" s="51" t="s">
        <v>534</v>
      </c>
      <c r="C242" s="51" t="s">
        <v>535</v>
      </c>
      <c r="D242" s="51" t="s">
        <v>112</v>
      </c>
      <c r="E242" s="52" t="s">
        <v>536</v>
      </c>
      <c r="F242" s="53" t="s">
        <v>310</v>
      </c>
      <c r="G242" s="53" t="s">
        <v>310</v>
      </c>
      <c r="H242" s="51" t="str">
        <f>IF(G242=TRUE,H240,"")</f>
        <v/>
      </c>
      <c r="I242" s="65" t="s">
        <v>533</v>
      </c>
      <c r="J242" s="27" t="s">
        <v>537</v>
      </c>
    </row>
    <row r="243" hidden="1">
      <c r="A243" s="50" t="str">
        <f>HYPERLINK("https://github.com/pytorch/pytorch/blob/f99ab991dcd3719ee25dd3377a53ea12e518308e/test/test_cpp_extensions_aot.py#L187", "TestPybindTypeCasters")</f>
        <v>TestPybindTypeCasters</v>
      </c>
      <c r="B243" s="51" t="s">
        <v>534</v>
      </c>
      <c r="C243" s="51" t="s">
        <v>538</v>
      </c>
      <c r="D243" s="51" t="s">
        <v>64</v>
      </c>
      <c r="E243" s="52" t="s">
        <v>539</v>
      </c>
      <c r="F243" s="53" t="s">
        <v>310</v>
      </c>
      <c r="G243" s="53" t="s">
        <v>310</v>
      </c>
      <c r="H243" s="51" t="str">
        <f>IF(G243=TRUE,H240,"")</f>
        <v/>
      </c>
      <c r="I243" s="65" t="s">
        <v>533</v>
      </c>
      <c r="J243" s="27" t="s">
        <v>537</v>
      </c>
    </row>
    <row r="244" hidden="1">
      <c r="A244" s="50" t="str">
        <f>HYPERLINK("https://github.com/pytorch/pytorch/blob/f99ab991dcd3719ee25dd3377a53ea12e518308e/test/test_cpp_extensions_aot.py#L285", "TestMAIATensor")</f>
        <v>TestMAIATensor</v>
      </c>
      <c r="B244" s="51" t="s">
        <v>534</v>
      </c>
      <c r="C244" s="51" t="s">
        <v>540</v>
      </c>
      <c r="D244" s="51" t="s">
        <v>541</v>
      </c>
      <c r="E244" s="52" t="s">
        <v>542</v>
      </c>
      <c r="F244" s="53" t="s">
        <v>310</v>
      </c>
      <c r="G244" s="53" t="s">
        <v>310</v>
      </c>
      <c r="H244" s="51" t="str">
        <f>IF(G244=TRUE,H240,"")</f>
        <v/>
      </c>
      <c r="I244" s="65" t="s">
        <v>533</v>
      </c>
      <c r="J244" s="27" t="s">
        <v>537</v>
      </c>
    </row>
    <row r="245" hidden="1">
      <c r="A245" s="50" t="str">
        <f>HYPERLINK("https://github.com/pytorch/pytorch/blob/f99ab991dcd3719ee25dd3377a53ea12e518308e/test/test_cpp_extensions_aot.py#L369", "TestRNGExtension")</f>
        <v>TestRNGExtension</v>
      </c>
      <c r="B245" s="51" t="s">
        <v>534</v>
      </c>
      <c r="C245" s="51" t="s">
        <v>543</v>
      </c>
      <c r="D245" s="51" t="s">
        <v>172</v>
      </c>
      <c r="E245" s="52" t="s">
        <v>544</v>
      </c>
      <c r="F245" s="53" t="s">
        <v>310</v>
      </c>
      <c r="G245" s="53" t="s">
        <v>310</v>
      </c>
      <c r="H245" s="51" t="str">
        <f>IF(G245=TRUE,H240,"")</f>
        <v/>
      </c>
      <c r="I245" s="65" t="s">
        <v>533</v>
      </c>
      <c r="J245" s="27" t="s">
        <v>537</v>
      </c>
    </row>
    <row r="246" hidden="1">
      <c r="A246" s="50" t="str">
        <f>HYPERLINK("https://github.com/pytorch/pytorch/blob/f99ab991dcd3719ee25dd3377a53ea12e518308e/test/test_cpp_extensions_aot.py#L406", "TestTorchLibrary")</f>
        <v>TestTorchLibrary</v>
      </c>
      <c r="B246" s="51" t="s">
        <v>534</v>
      </c>
      <c r="C246" s="51" t="s">
        <v>545</v>
      </c>
      <c r="D246" s="51" t="s">
        <v>64</v>
      </c>
      <c r="E246" s="52" t="s">
        <v>546</v>
      </c>
      <c r="F246" s="53" t="s">
        <v>310</v>
      </c>
      <c r="G246" s="53" t="s">
        <v>310</v>
      </c>
      <c r="H246" s="51" t="str">
        <f>IF(G246=TRUE,H240,"")</f>
        <v/>
      </c>
      <c r="I246" s="65" t="s">
        <v>533</v>
      </c>
      <c r="J246" s="27" t="s">
        <v>537</v>
      </c>
    </row>
    <row r="247" hidden="1">
      <c r="A247" s="50" t="str">
        <f>HYPERLINK("https://github.com/pytorch/pytorch/blob/f99ab991dcd3719ee25dd3377a53ea12e518308e/test/test_cpp_extensions_jit.py#L44", "TestCppExtensionJIT")</f>
        <v>TestCppExtensionJIT</v>
      </c>
      <c r="B247" s="51" t="s">
        <v>547</v>
      </c>
      <c r="C247" s="51" t="s">
        <v>548</v>
      </c>
      <c r="D247" s="51" t="s">
        <v>112</v>
      </c>
      <c r="E247" s="52" t="s">
        <v>549</v>
      </c>
      <c r="F247" s="53" t="s">
        <v>310</v>
      </c>
      <c r="G247" s="53" t="s">
        <v>310</v>
      </c>
      <c r="H247" s="51" t="str">
        <f>IF(G247=TRUE,H240,"")</f>
        <v/>
      </c>
      <c r="I247" s="65" t="s">
        <v>533</v>
      </c>
      <c r="J247" s="14"/>
    </row>
    <row r="248" hidden="1">
      <c r="A248" s="50" t="str">
        <f>HYPERLINK("https://github.com/pytorch/pytorch/blob/f99ab991dcd3719ee25dd3377a53ea12e518308e/test/test_cpp_extensions_mtia_backend.py#L31", "TestCppExtensionMTIABackend")</f>
        <v>TestCppExtensionMTIABackend</v>
      </c>
      <c r="B248" s="51" t="s">
        <v>550</v>
      </c>
      <c r="C248" s="51" t="s">
        <v>551</v>
      </c>
      <c r="D248" s="51" t="s">
        <v>64</v>
      </c>
      <c r="E248" s="52" t="s">
        <v>552</v>
      </c>
      <c r="F248" s="53" t="s">
        <v>310</v>
      </c>
      <c r="G248" s="53" t="s">
        <v>310</v>
      </c>
      <c r="H248" s="51" t="str">
        <f>IF(G248=TRUE,H240,"")</f>
        <v/>
      </c>
      <c r="I248" s="65" t="s">
        <v>533</v>
      </c>
      <c r="J248" s="14"/>
    </row>
    <row r="249" hidden="1">
      <c r="A249" s="50" t="str">
        <f>HYPERLINK("https://github.com/pytorch/pytorch/blob/f99ab991dcd3719ee25dd3377a53ea12e518308e/test/test_cpp_extensions_stream_and_event.py#L40", "TestCppExtensionStreamAndEvent")</f>
        <v>TestCppExtensionStreamAndEvent</v>
      </c>
      <c r="B249" s="51" t="s">
        <v>553</v>
      </c>
      <c r="C249" s="51" t="s">
        <v>554</v>
      </c>
      <c r="D249" s="51" t="s">
        <v>64</v>
      </c>
      <c r="E249" s="52" t="s">
        <v>555</v>
      </c>
      <c r="F249" s="53" t="s">
        <v>310</v>
      </c>
      <c r="G249" s="53" t="s">
        <v>310</v>
      </c>
      <c r="H249" s="51" t="str">
        <f>IF(G249=TRUE,H240,"")</f>
        <v/>
      </c>
      <c r="I249" s="65" t="s">
        <v>533</v>
      </c>
      <c r="J249" s="14"/>
    </row>
    <row r="250" hidden="1">
      <c r="A250" s="50" t="str">
        <f>HYPERLINK("https://github.com/pytorch/pytorch/blob/f99ab991dcd3719ee25dd3377a53ea12e518308e/test/test_extension_utils.py#L34", "TestExtensionUtils")</f>
        <v>TestExtensionUtils</v>
      </c>
      <c r="B250" s="51" t="s">
        <v>556</v>
      </c>
      <c r="C250" s="51" t="s">
        <v>557</v>
      </c>
      <c r="D250" s="51" t="s">
        <v>64</v>
      </c>
      <c r="E250" s="52" t="s">
        <v>558</v>
      </c>
      <c r="F250" s="53" t="s">
        <v>310</v>
      </c>
      <c r="G250" s="53" t="s">
        <v>310</v>
      </c>
      <c r="H250" s="51" t="str">
        <f>IF(G250=TRUE,H240,"")</f>
        <v/>
      </c>
      <c r="I250" s="65" t="s">
        <v>533</v>
      </c>
      <c r="J250" s="14"/>
    </row>
    <row r="251" hidden="1">
      <c r="A251" s="15" t="s">
        <v>559</v>
      </c>
      <c r="B251" s="16"/>
      <c r="C251" s="16"/>
      <c r="D251" s="16"/>
      <c r="E251" s="17"/>
      <c r="F251" s="18" t="b">
        <v>1</v>
      </c>
      <c r="G251" s="18" t="b">
        <v>0</v>
      </c>
      <c r="H251" s="20"/>
      <c r="I251" s="20"/>
      <c r="J251" s="14"/>
    </row>
    <row r="252" hidden="1">
      <c r="A252" s="35" t="str">
        <f>HYPERLINK("https://github.com/pytorch/pytorch/blob/f99ab991dcd3719ee25dd3377a53ea12e518308e/test/cpp_extensions/open_registration_extension/torch_openreg/tests/test_autocast.py#L7", "TestAutocast")</f>
        <v>TestAutocast</v>
      </c>
      <c r="B252" s="25" t="s">
        <v>560</v>
      </c>
      <c r="C252" s="25" t="s">
        <v>561</v>
      </c>
      <c r="D252" s="25" t="s">
        <v>541</v>
      </c>
      <c r="E252" s="36" t="s">
        <v>562</v>
      </c>
      <c r="F252" s="37" t="b">
        <f t="shared" ref="F252:G252" si="116">IF(F251=TRUE,TRUE,FALSE)</f>
        <v>1</v>
      </c>
      <c r="G252" s="37" t="b">
        <f t="shared" si="116"/>
        <v>0</v>
      </c>
      <c r="H252" s="34" t="str">
        <f>IF(G252=TRUE,H251,"")</f>
        <v/>
      </c>
      <c r="I252" s="34"/>
      <c r="J252" s="14"/>
    </row>
    <row r="253" hidden="1">
      <c r="A253" s="29" t="str">
        <f>HYPERLINK("https://github.com/pytorch/pytorch/blob/f99ab991dcd3719ee25dd3377a53ea12e518308e/test/cpp_extensions/open_registration_extension/torch_openreg/tests/test_autograd.py#L16", "TestAutograd")</f>
        <v>TestAutograd</v>
      </c>
      <c r="B253" s="30" t="s">
        <v>563</v>
      </c>
      <c r="C253" s="30" t="s">
        <v>564</v>
      </c>
      <c r="D253" s="30" t="s">
        <v>565</v>
      </c>
      <c r="E253" s="31" t="s">
        <v>566</v>
      </c>
      <c r="F253" s="33" t="b">
        <f t="shared" ref="F253:G253" si="117">IF(F251=TRUE,TRUE,FALSE)</f>
        <v>1</v>
      </c>
      <c r="G253" s="33" t="b">
        <f t="shared" si="117"/>
        <v>0</v>
      </c>
      <c r="H253" s="34" t="str">
        <f>IF(G253=TRUE,H251,"")</f>
        <v/>
      </c>
      <c r="I253" s="34"/>
      <c r="J253" s="14"/>
    </row>
    <row r="254" hidden="1">
      <c r="A254" s="35" t="str">
        <f>HYPERLINK("https://github.com/pytorch/pytorch/blob/f99ab991dcd3719ee25dd3377a53ea12e518308e/test/cpp_extensions/open_registration_extension/torch_openreg/tests/test_device.py#L10", "TestDevice")</f>
        <v>TestDevice</v>
      </c>
      <c r="B254" s="25" t="s">
        <v>567</v>
      </c>
      <c r="C254" s="25" t="s">
        <v>568</v>
      </c>
      <c r="D254" s="25" t="s">
        <v>565</v>
      </c>
      <c r="E254" s="36" t="s">
        <v>569</v>
      </c>
      <c r="F254" s="37" t="b">
        <f t="shared" ref="F254:G254" si="118">IF(F251=TRUE,TRUE,FALSE)</f>
        <v>1</v>
      </c>
      <c r="G254" s="37" t="b">
        <f t="shared" si="118"/>
        <v>0</v>
      </c>
      <c r="H254" s="34" t="str">
        <f>IF(G254=TRUE,H251,"")</f>
        <v/>
      </c>
      <c r="I254" s="34"/>
      <c r="J254" s="14"/>
    </row>
    <row r="255" hidden="1">
      <c r="A255" s="29" t="str">
        <f>HYPERLINK("https://github.com/pytorch/pytorch/blob/f99ab991dcd3719ee25dd3377a53ea12e518308e/test/cpp_extensions/open_registration_extension/torch_openreg/tests/test_event.py#L7", "TestEvent")</f>
        <v>TestEvent</v>
      </c>
      <c r="B255" s="30" t="s">
        <v>570</v>
      </c>
      <c r="C255" s="30" t="s">
        <v>571</v>
      </c>
      <c r="D255" s="30" t="s">
        <v>541</v>
      </c>
      <c r="E255" s="31" t="s">
        <v>562</v>
      </c>
      <c r="F255" s="33" t="b">
        <f t="shared" ref="F255:G255" si="119">IF(F251=TRUE,TRUE,FALSE)</f>
        <v>1</v>
      </c>
      <c r="G255" s="33" t="b">
        <f t="shared" si="119"/>
        <v>0</v>
      </c>
      <c r="H255" s="34" t="str">
        <f>IF(G255=TRUE,H251,"")</f>
        <v/>
      </c>
      <c r="I255" s="34"/>
      <c r="J255" s="14"/>
    </row>
    <row r="256" hidden="1">
      <c r="A256" s="35" t="str">
        <f>HYPERLINK("https://github.com/pytorch/pytorch/blob/f99ab991dcd3719ee25dd3377a53ea12e518308e/test/cpp_extensions/open_registration_extension/torch_openreg/tests/test_memory.py#L11", "TestDeviceAllocator")</f>
        <v>TestDeviceAllocator</v>
      </c>
      <c r="B256" s="25" t="s">
        <v>572</v>
      </c>
      <c r="C256" s="25" t="s">
        <v>573</v>
      </c>
      <c r="D256" s="25" t="s">
        <v>541</v>
      </c>
      <c r="E256" s="36" t="s">
        <v>562</v>
      </c>
      <c r="F256" s="37" t="b">
        <f t="shared" ref="F256:G256" si="120">IF(F251=TRUE,TRUE,FALSE)</f>
        <v>1</v>
      </c>
      <c r="G256" s="37" t="b">
        <f t="shared" si="120"/>
        <v>0</v>
      </c>
      <c r="H256" s="34" t="str">
        <f>IF(G256=TRUE,H251,"")</f>
        <v/>
      </c>
      <c r="I256" s="34"/>
      <c r="J256" s="14"/>
    </row>
    <row r="257" hidden="1">
      <c r="A257" s="29" t="str">
        <f>HYPERLINK("https://github.com/pytorch/pytorch/blob/f99ab991dcd3719ee25dd3377a53ea12e518308e/test/cpp_extensions/open_registration_extension/torch_openreg/tests/test_memory.py#L222", "TestMemoryLeaks")</f>
        <v>TestMemoryLeaks</v>
      </c>
      <c r="B257" s="30" t="s">
        <v>572</v>
      </c>
      <c r="C257" s="30" t="s">
        <v>574</v>
      </c>
      <c r="D257" s="30" t="s">
        <v>541</v>
      </c>
      <c r="E257" s="31" t="s">
        <v>562</v>
      </c>
      <c r="F257" s="33" t="b">
        <f t="shared" ref="F257:G257" si="121">IF(F251=TRUE,TRUE,FALSE)</f>
        <v>1</v>
      </c>
      <c r="G257" s="33" t="b">
        <f t="shared" si="121"/>
        <v>0</v>
      </c>
      <c r="H257" s="34" t="str">
        <f>IF(G257=TRUE,H251,"")</f>
        <v/>
      </c>
      <c r="I257" s="34"/>
      <c r="J257" s="14"/>
    </row>
    <row r="258" hidden="1">
      <c r="A258" s="35" t="str">
        <f>HYPERLINK("https://github.com/pytorch/pytorch/blob/f99ab991dcd3719ee25dd3377a53ea12e518308e/test/cpp_extensions/open_registration_extension/torch_openreg/tests/test_memory.py#L406", "TestPinMemory")</f>
        <v>TestPinMemory</v>
      </c>
      <c r="B258" s="25" t="s">
        <v>572</v>
      </c>
      <c r="C258" s="25" t="s">
        <v>575</v>
      </c>
      <c r="D258" s="25" t="s">
        <v>64</v>
      </c>
      <c r="E258" s="36" t="s">
        <v>576</v>
      </c>
      <c r="F258" s="37" t="b">
        <f t="shared" ref="F258:G258" si="122">IF(F251=TRUE,TRUE,FALSE)</f>
        <v>1</v>
      </c>
      <c r="G258" s="37" t="b">
        <f t="shared" si="122"/>
        <v>0</v>
      </c>
      <c r="H258" s="34" t="str">
        <f>IF(G258=TRUE,H251,"")</f>
        <v/>
      </c>
      <c r="I258" s="34"/>
      <c r="J258" s="14"/>
    </row>
    <row r="259" hidden="1">
      <c r="A259" s="29" t="str">
        <f>HYPERLINK("https://github.com/pytorch/pytorch/blob/f99ab991dcd3719ee25dd3377a53ea12e518308e/test/cpp_extensions/open_registration_extension/torch_openreg/tests/test_memory.py#L469", "TestMultiDeviceAllocation")</f>
        <v>TestMultiDeviceAllocation</v>
      </c>
      <c r="B259" s="30" t="s">
        <v>572</v>
      </c>
      <c r="C259" s="30" t="s">
        <v>577</v>
      </c>
      <c r="D259" s="30" t="s">
        <v>541</v>
      </c>
      <c r="E259" s="31" t="s">
        <v>578</v>
      </c>
      <c r="F259" s="33" t="b">
        <f t="shared" ref="F259:G259" si="123">IF(F251=TRUE,TRUE,FALSE)</f>
        <v>1</v>
      </c>
      <c r="G259" s="33" t="b">
        <f t="shared" si="123"/>
        <v>0</v>
      </c>
      <c r="H259" s="34" t="str">
        <f>IF(G259=TRUE,H251,"")</f>
        <v/>
      </c>
      <c r="I259" s="34"/>
      <c r="J259" s="14"/>
    </row>
    <row r="260" hidden="1">
      <c r="A260" s="35" t="str">
        <f>HYPERLINK("https://github.com/pytorch/pytorch/blob/f99ab991dcd3719ee25dd3377a53ea12e518308e/test/cpp_extensions/open_registration_extension/torch_openreg/tests/test_memory.py#L533", "TestCrossDeviceOperations")</f>
        <v>TestCrossDeviceOperations</v>
      </c>
      <c r="B260" s="25" t="s">
        <v>572</v>
      </c>
      <c r="C260" s="25" t="s">
        <v>579</v>
      </c>
      <c r="D260" s="25" t="s">
        <v>541</v>
      </c>
      <c r="E260" s="36" t="s">
        <v>580</v>
      </c>
      <c r="F260" s="37" t="b">
        <f t="shared" ref="F260:G260" si="124">IF(F251=TRUE,TRUE,FALSE)</f>
        <v>1</v>
      </c>
      <c r="G260" s="37" t="b">
        <f t="shared" si="124"/>
        <v>0</v>
      </c>
      <c r="H260" s="34" t="str">
        <f>IF(G260=TRUE,H251,"")</f>
        <v/>
      </c>
      <c r="I260" s="34"/>
      <c r="J260" s="14"/>
    </row>
    <row r="261" hidden="1">
      <c r="A261" s="29" t="str">
        <f>HYPERLINK("https://github.com/pytorch/pytorch/blob/f99ab991dcd3719ee25dd3377a53ea12e518308e/test/cpp_extensions/open_registration_extension/torch_openreg/tests/test_misc.py#L10", "TestBackendModule")</f>
        <v>TestBackendModule</v>
      </c>
      <c r="B261" s="30" t="s">
        <v>581</v>
      </c>
      <c r="C261" s="30" t="s">
        <v>582</v>
      </c>
      <c r="D261" s="30" t="s">
        <v>541</v>
      </c>
      <c r="E261" s="31" t="s">
        <v>583</v>
      </c>
      <c r="F261" s="33" t="b">
        <f t="shared" ref="F261:G261" si="125">IF(F251=TRUE,TRUE,FALSE)</f>
        <v>1</v>
      </c>
      <c r="G261" s="33" t="b">
        <f t="shared" si="125"/>
        <v>0</v>
      </c>
      <c r="H261" s="34" t="str">
        <f>IF(G261=TRUE,H251,"")</f>
        <v/>
      </c>
      <c r="I261" s="34"/>
      <c r="J261" s="14"/>
    </row>
    <row r="262" hidden="1">
      <c r="A262" s="35" t="str">
        <f>HYPERLINK("https://github.com/pytorch/pytorch/blob/f99ab991dcd3719ee25dd3377a53ea12e518308e/test/cpp_extensions/open_registration_extension/torch_openreg/tests/test_misc.py#L51", "TestBackendProperty")</f>
        <v>TestBackendProperty</v>
      </c>
      <c r="B262" s="25" t="s">
        <v>581</v>
      </c>
      <c r="C262" s="25" t="s">
        <v>584</v>
      </c>
      <c r="D262" s="25" t="s">
        <v>541</v>
      </c>
      <c r="E262" s="36" t="s">
        <v>583</v>
      </c>
      <c r="F262" s="37" t="b">
        <f t="shared" ref="F262:G262" si="126">IF(F251=TRUE,TRUE,FALSE)</f>
        <v>1</v>
      </c>
      <c r="G262" s="37" t="b">
        <f t="shared" si="126"/>
        <v>0</v>
      </c>
      <c r="H262" s="34" t="str">
        <f>IF(G262=TRUE,H251,"")</f>
        <v/>
      </c>
      <c r="I262" s="34"/>
      <c r="J262" s="14"/>
    </row>
    <row r="263" hidden="1">
      <c r="A263" s="29" t="str">
        <f>HYPERLINK("https://github.com/pytorch/pytorch/blob/f99ab991dcd3719ee25dd3377a53ea12e518308e/test/cpp_extensions/open_registration_extension/torch_openreg/tests/test_misc.py#L154", "TestTensorType")</f>
        <v>TestTensorType</v>
      </c>
      <c r="B263" s="30" t="s">
        <v>581</v>
      </c>
      <c r="C263" s="30" t="s">
        <v>585</v>
      </c>
      <c r="D263" s="30" t="s">
        <v>541</v>
      </c>
      <c r="E263" s="31" t="s">
        <v>583</v>
      </c>
      <c r="F263" s="33" t="b">
        <f t="shared" ref="F263:G263" si="127">IF(F251=TRUE,TRUE,FALSE)</f>
        <v>1</v>
      </c>
      <c r="G263" s="33" t="b">
        <f t="shared" si="127"/>
        <v>0</v>
      </c>
      <c r="H263" s="34" t="str">
        <f>IF(G263=TRUE,H251,"")</f>
        <v/>
      </c>
      <c r="I263" s="34"/>
      <c r="J263" s="14"/>
    </row>
    <row r="264" hidden="1">
      <c r="A264" s="35" t="str">
        <f>HYPERLINK("https://github.com/pytorch/pytorch/blob/f99ab991dcd3719ee25dd3377a53ea12e518308e/test/cpp_extensions/open_registration_extension/torch_openreg/tests/test_ops.py#L18", "TestFactory")</f>
        <v>TestFactory</v>
      </c>
      <c r="B264" s="25" t="s">
        <v>586</v>
      </c>
      <c r="C264" s="25" t="s">
        <v>587</v>
      </c>
      <c r="D264" s="25" t="s">
        <v>541</v>
      </c>
      <c r="E264" s="36" t="s">
        <v>583</v>
      </c>
      <c r="F264" s="37" t="b">
        <f t="shared" ref="F264:G264" si="128">IF(F251=TRUE,TRUE,FALSE)</f>
        <v>1</v>
      </c>
      <c r="G264" s="37" t="b">
        <f t="shared" si="128"/>
        <v>0</v>
      </c>
      <c r="H264" s="34" t="str">
        <f>IF(G264=TRUE,H251,"")</f>
        <v/>
      </c>
      <c r="I264" s="34"/>
      <c r="J264" s="14"/>
    </row>
    <row r="265" hidden="1">
      <c r="A265" s="29" t="str">
        <f>HYPERLINK("https://github.com/pytorch/pytorch/blob/f99ab991dcd3719ee25dd3377a53ea12e518308e/test/cpp_extensions/open_registration_extension/torch_openreg/tests/test_ops.py#L49", "TestCopy")</f>
        <v>TestCopy</v>
      </c>
      <c r="B265" s="30" t="s">
        <v>586</v>
      </c>
      <c r="C265" s="30" t="s">
        <v>588</v>
      </c>
      <c r="D265" s="30" t="s">
        <v>541</v>
      </c>
      <c r="E265" s="31" t="s">
        <v>583</v>
      </c>
      <c r="F265" s="33" t="b">
        <f t="shared" ref="F265:G265" si="129">IF(F251=TRUE,TRUE,FALSE)</f>
        <v>1</v>
      </c>
      <c r="G265" s="33" t="b">
        <f t="shared" si="129"/>
        <v>0</v>
      </c>
      <c r="H265" s="34" t="str">
        <f>IF(G265=TRUE,H251,"")</f>
        <v/>
      </c>
      <c r="I265" s="34"/>
      <c r="J265" s="14"/>
    </row>
    <row r="266" hidden="1">
      <c r="A266" s="35" t="str">
        <f>HYPERLINK("https://github.com/pytorch/pytorch/blob/f99ab991dcd3719ee25dd3377a53ea12e518308e/test/cpp_extensions/open_registration_extension/torch_openreg/tests/test_ops.py#L67", "TestOps")</f>
        <v>TestOps</v>
      </c>
      <c r="B266" s="25" t="s">
        <v>586</v>
      </c>
      <c r="C266" s="25" t="s">
        <v>589</v>
      </c>
      <c r="D266" s="25" t="s">
        <v>541</v>
      </c>
      <c r="E266" s="36" t="s">
        <v>583</v>
      </c>
      <c r="F266" s="37" t="b">
        <f t="shared" ref="F266:G266" si="130">IF(F251=TRUE,TRUE,FALSE)</f>
        <v>1</v>
      </c>
      <c r="G266" s="37" t="b">
        <f t="shared" si="130"/>
        <v>0</v>
      </c>
      <c r="H266" s="34" t="str">
        <f>IF(G266=TRUE,H251,"")</f>
        <v/>
      </c>
      <c r="I266" s="34"/>
      <c r="J266" s="14"/>
    </row>
    <row r="267" hidden="1">
      <c r="A267" s="29" t="str">
        <f>HYPERLINK("https://github.com/pytorch/pytorch/blob/f99ab991dcd3719ee25dd3377a53ea12e518308e/test/cpp_extensions/open_registration_extension/torch_openreg/tests/test_ops.py#L106", "TestSTUB")</f>
        <v>TestSTUB</v>
      </c>
      <c r="B267" s="30" t="s">
        <v>586</v>
      </c>
      <c r="C267" s="30" t="s">
        <v>590</v>
      </c>
      <c r="D267" s="30" t="s">
        <v>172</v>
      </c>
      <c r="E267" s="31" t="s">
        <v>591</v>
      </c>
      <c r="F267" s="33" t="b">
        <f t="shared" ref="F267:G267" si="131">IF(F251=TRUE,TRUE,FALSE)</f>
        <v>1</v>
      </c>
      <c r="G267" s="33" t="b">
        <f t="shared" si="131"/>
        <v>0</v>
      </c>
      <c r="H267" s="34" t="str">
        <f>IF(G267=TRUE,H251,"")</f>
        <v/>
      </c>
      <c r="I267" s="34"/>
      <c r="J267" s="14"/>
    </row>
    <row r="268" hidden="1">
      <c r="A268" s="35" t="str">
        <f>HYPERLINK("https://github.com/pytorch/pytorch/blob/f99ab991dcd3719ee25dd3377a53ea12e518308e/test/cpp_extensions/open_registration_extension/torch_openreg/tests/test_ops.py#L130", "TestQuantization")</f>
        <v>TestQuantization</v>
      </c>
      <c r="B268" s="25" t="s">
        <v>586</v>
      </c>
      <c r="C268" s="25" t="s">
        <v>592</v>
      </c>
      <c r="D268" s="25" t="s">
        <v>541</v>
      </c>
      <c r="E268" s="36" t="s">
        <v>583</v>
      </c>
      <c r="F268" s="37" t="b">
        <f t="shared" ref="F268:G268" si="132">IF(F251=TRUE,TRUE,FALSE)</f>
        <v>1</v>
      </c>
      <c r="G268" s="37" t="b">
        <f t="shared" si="132"/>
        <v>0</v>
      </c>
      <c r="H268" s="34" t="str">
        <f>IF(G268=TRUE,H251,"")</f>
        <v/>
      </c>
      <c r="I268" s="34"/>
      <c r="J268" s="14"/>
    </row>
    <row r="269" hidden="1">
      <c r="A269" s="29" t="str">
        <f>HYPERLINK("https://github.com/pytorch/pytorch/blob/f99ab991dcd3719ee25dd3377a53ea12e518308e/test/cpp_extensions/open_registration_extension/torch_openreg/tests/test_ops.py#L139", "TestAutogradFunction")</f>
        <v>TestAutogradFunction</v>
      </c>
      <c r="B269" s="30" t="s">
        <v>586</v>
      </c>
      <c r="C269" s="30" t="s">
        <v>593</v>
      </c>
      <c r="D269" s="30" t="s">
        <v>541</v>
      </c>
      <c r="E269" s="31" t="s">
        <v>583</v>
      </c>
      <c r="F269" s="33" t="b">
        <f t="shared" ref="F269:G269" si="133">IF(F251=TRUE,TRUE,FALSE)</f>
        <v>1</v>
      </c>
      <c r="G269" s="33" t="b">
        <f t="shared" si="133"/>
        <v>0</v>
      </c>
      <c r="H269" s="34" t="str">
        <f>IF(G269=TRUE,H251,"")</f>
        <v/>
      </c>
      <c r="I269" s="34"/>
      <c r="J269" s="14"/>
    </row>
    <row r="270" hidden="1">
      <c r="A270" s="35" t="str">
        <f>HYPERLINK("https://github.com/pytorch/pytorch/blob/f99ab991dcd3719ee25dd3377a53ea12e518308e/test/cpp_extensions/open_registration_extension/torch_openreg/tests/test_ops.py#L174", "TestFallback")</f>
        <v>TestFallback</v>
      </c>
      <c r="B270" s="25" t="s">
        <v>586</v>
      </c>
      <c r="C270" s="25" t="s">
        <v>594</v>
      </c>
      <c r="D270" s="25" t="s">
        <v>541</v>
      </c>
      <c r="E270" s="36" t="s">
        <v>583</v>
      </c>
      <c r="F270" s="37" t="b">
        <f t="shared" ref="F270:G270" si="134">IF(F251=TRUE,TRUE,FALSE)</f>
        <v>1</v>
      </c>
      <c r="G270" s="37" t="b">
        <f t="shared" si="134"/>
        <v>0</v>
      </c>
      <c r="H270" s="34" t="str">
        <f>IF(G270=TRUE,H251,"")</f>
        <v/>
      </c>
      <c r="I270" s="34"/>
      <c r="J270" s="14"/>
    </row>
    <row r="271" hidden="1">
      <c r="A271" s="29" t="str">
        <f>HYPERLINK("https://github.com/pytorch/pytorch/blob/f99ab991dcd3719ee25dd3377a53ea12e518308e/test/cpp_extensions/open_registration_extension/torch_openreg/tests/test_ops.py#L219", "TestSDPA")</f>
        <v>TestSDPA</v>
      </c>
      <c r="B271" s="30" t="s">
        <v>586</v>
      </c>
      <c r="C271" s="30" t="s">
        <v>595</v>
      </c>
      <c r="D271" s="30" t="s">
        <v>541</v>
      </c>
      <c r="E271" s="31" t="s">
        <v>583</v>
      </c>
      <c r="F271" s="33" t="b">
        <f t="shared" ref="F271:G271" si="135">IF(F251=TRUE,TRUE,FALSE)</f>
        <v>1</v>
      </c>
      <c r="G271" s="33" t="b">
        <f t="shared" si="135"/>
        <v>0</v>
      </c>
      <c r="H271" s="34" t="str">
        <f>IF(G271=TRUE,H251,"")</f>
        <v/>
      </c>
      <c r="I271" s="34"/>
      <c r="J271" s="14"/>
    </row>
    <row r="272" hidden="1">
      <c r="A272" s="35" t="str">
        <f>HYPERLINK("https://github.com/pytorch/pytorch/blob/f99ab991dcd3719ee25dd3377a53ea12e518308e/test/cpp_extensions/open_registration_extension/torch_openreg/tests/test_ops.py#L305", "TestFactoryExtended")</f>
        <v>TestFactoryExtended</v>
      </c>
      <c r="B272" s="25" t="s">
        <v>586</v>
      </c>
      <c r="C272" s="25" t="s">
        <v>596</v>
      </c>
      <c r="D272" s="25" t="s">
        <v>541</v>
      </c>
      <c r="E272" s="36" t="s">
        <v>583</v>
      </c>
      <c r="F272" s="37" t="b">
        <f t="shared" ref="F272:G272" si="136">IF(F251=TRUE,TRUE,FALSE)</f>
        <v>1</v>
      </c>
      <c r="G272" s="37" t="b">
        <f t="shared" si="136"/>
        <v>0</v>
      </c>
      <c r="H272" s="34" t="str">
        <f>IF(G272=TRUE,H251,"")</f>
        <v/>
      </c>
      <c r="I272" s="34"/>
      <c r="J272" s="14"/>
    </row>
    <row r="273" hidden="1">
      <c r="A273" s="29" t="str">
        <f>HYPERLINK("https://github.com/pytorch/pytorch/blob/f99ab991dcd3719ee25dd3377a53ea12e518308e/test/cpp_extensions/open_registration_extension/torch_openreg/tests/test_ops.py#L356", "TestCopyExtended")</f>
        <v>TestCopyExtended</v>
      </c>
      <c r="B273" s="30" t="s">
        <v>586</v>
      </c>
      <c r="C273" s="30" t="s">
        <v>597</v>
      </c>
      <c r="D273" s="30" t="s">
        <v>541</v>
      </c>
      <c r="E273" s="31" t="s">
        <v>583</v>
      </c>
      <c r="F273" s="33" t="b">
        <f t="shared" ref="F273:G273" si="137">IF(F251=TRUE,TRUE,FALSE)</f>
        <v>1</v>
      </c>
      <c r="G273" s="33" t="b">
        <f t="shared" si="137"/>
        <v>0</v>
      </c>
      <c r="H273" s="34" t="str">
        <f>IF(G273=TRUE,H251,"")</f>
        <v/>
      </c>
      <c r="I273" s="34"/>
      <c r="J273" s="14"/>
    </row>
    <row r="274" hidden="1">
      <c r="A274" s="35" t="str">
        <f>HYPERLINK("https://github.com/pytorch/pytorch/blob/f99ab991dcd3719ee25dd3377a53ea12e518308e/test/cpp_extensions/open_registration_extension/torch_openreg/tests/test_ops.py#L381", "TestOpsExtended")</f>
        <v>TestOpsExtended</v>
      </c>
      <c r="B274" s="25" t="s">
        <v>586</v>
      </c>
      <c r="C274" s="25" t="s">
        <v>598</v>
      </c>
      <c r="D274" s="25" t="s">
        <v>541</v>
      </c>
      <c r="E274" s="36" t="s">
        <v>583</v>
      </c>
      <c r="F274" s="37" t="b">
        <f t="shared" ref="F274:G274" si="138">IF(F251=TRUE,TRUE,FALSE)</f>
        <v>1</v>
      </c>
      <c r="G274" s="37" t="b">
        <f t="shared" si="138"/>
        <v>0</v>
      </c>
      <c r="H274" s="34" t="str">
        <f>IF(G274=TRUE,H251,"")</f>
        <v/>
      </c>
      <c r="I274" s="34"/>
      <c r="J274" s="14"/>
    </row>
    <row r="275" hidden="1">
      <c r="A275" s="29" t="str">
        <f>HYPERLINK("https://github.com/pytorch/pytorch/blob/f99ab991dcd3719ee25dd3377a53ea12e518308e/test/cpp_extensions/open_registration_extension/torch_openreg/tests/test_ops.py#L426", "TestSTUBExtended")</f>
        <v>TestSTUBExtended</v>
      </c>
      <c r="B275" s="30" t="s">
        <v>586</v>
      </c>
      <c r="C275" s="30" t="s">
        <v>599</v>
      </c>
      <c r="D275" s="30" t="s">
        <v>541</v>
      </c>
      <c r="E275" s="31" t="s">
        <v>583</v>
      </c>
      <c r="F275" s="33" t="b">
        <f t="shared" ref="F275:G275" si="139">IF(F251=TRUE,TRUE,FALSE)</f>
        <v>1</v>
      </c>
      <c r="G275" s="33" t="b">
        <f t="shared" si="139"/>
        <v>0</v>
      </c>
      <c r="H275" s="34" t="str">
        <f>IF(G275=TRUE,H251,"")</f>
        <v/>
      </c>
      <c r="I275" s="34"/>
      <c r="J275" s="14"/>
    </row>
    <row r="276" hidden="1">
      <c r="A276" s="35" t="str">
        <f>HYPERLINK("https://github.com/pytorch/pytorch/blob/f99ab991dcd3719ee25dd3377a53ea12e518308e/test/cpp_extensions/open_registration_extension/torch_openreg/tests/test_ops.py#L462", "TestQuantizationExtended")</f>
        <v>TestQuantizationExtended</v>
      </c>
      <c r="B276" s="25" t="s">
        <v>586</v>
      </c>
      <c r="C276" s="25" t="s">
        <v>600</v>
      </c>
      <c r="D276" s="25" t="s">
        <v>541</v>
      </c>
      <c r="E276" s="36" t="s">
        <v>583</v>
      </c>
      <c r="F276" s="37" t="b">
        <f t="shared" ref="F276:G276" si="140">IF(F251=TRUE,TRUE,FALSE)</f>
        <v>1</v>
      </c>
      <c r="G276" s="37" t="b">
        <f t="shared" si="140"/>
        <v>0</v>
      </c>
      <c r="H276" s="34" t="str">
        <f>IF(G276=TRUE,H251,"")</f>
        <v/>
      </c>
      <c r="I276" s="34"/>
      <c r="J276" s="14"/>
    </row>
    <row r="277" hidden="1">
      <c r="A277" s="29" t="str">
        <f>HYPERLINK("https://github.com/pytorch/pytorch/blob/f99ab991dcd3719ee25dd3377a53ea12e518308e/test/cpp_extensions/open_registration_extension/torch_openreg/tests/test_ops.py#L491", "TestFallbackExtended")</f>
        <v>TestFallbackExtended</v>
      </c>
      <c r="B277" s="30" t="s">
        <v>586</v>
      </c>
      <c r="C277" s="30" t="s">
        <v>601</v>
      </c>
      <c r="D277" s="30" t="s">
        <v>541</v>
      </c>
      <c r="E277" s="31" t="s">
        <v>583</v>
      </c>
      <c r="F277" s="33" t="b">
        <f t="shared" ref="F277:G277" si="141">IF(F251=TRUE,TRUE,FALSE)</f>
        <v>1</v>
      </c>
      <c r="G277" s="33" t="b">
        <f t="shared" si="141"/>
        <v>0</v>
      </c>
      <c r="H277" s="34" t="str">
        <f>IF(G277=TRUE,H251,"")</f>
        <v/>
      </c>
      <c r="I277" s="34"/>
      <c r="J277" s="14"/>
    </row>
    <row r="278" hidden="1">
      <c r="A278" s="35" t="str">
        <f>HYPERLINK("https://github.com/pytorch/pytorch/blob/f99ab991dcd3719ee25dd3377a53ea12e518308e/test/cpp_extensions/open_registration_extension/torch_openreg/tests/test_ops.py#L526", "TestSDPAExtended")</f>
        <v>TestSDPAExtended</v>
      </c>
      <c r="B278" s="25" t="s">
        <v>586</v>
      </c>
      <c r="C278" s="25" t="s">
        <v>602</v>
      </c>
      <c r="D278" s="25" t="s">
        <v>541</v>
      </c>
      <c r="E278" s="36" t="s">
        <v>583</v>
      </c>
      <c r="F278" s="37" t="b">
        <f t="shared" ref="F278:G278" si="142">IF(F251=TRUE,TRUE,FALSE)</f>
        <v>1</v>
      </c>
      <c r="G278" s="37" t="b">
        <f t="shared" si="142"/>
        <v>0</v>
      </c>
      <c r="H278" s="34" t="str">
        <f>IF(G278=TRUE,H251,"")</f>
        <v/>
      </c>
      <c r="I278" s="34"/>
      <c r="J278" s="14"/>
    </row>
    <row r="279" hidden="1">
      <c r="A279" s="29" t="str">
        <f>HYPERLINK("https://github.com/pytorch/pytorch/blob/f99ab991dcd3719ee25dd3377a53ea12e518308e/test/cpp_extensions/open_registration_extension/torch_openreg/tests/test_ops.py#L593", "TestCustomAutogradFunctions")</f>
        <v>TestCustomAutogradFunctions</v>
      </c>
      <c r="B279" s="30" t="s">
        <v>586</v>
      </c>
      <c r="C279" s="30" t="s">
        <v>603</v>
      </c>
      <c r="D279" s="30" t="s">
        <v>541</v>
      </c>
      <c r="E279" s="31" t="s">
        <v>583</v>
      </c>
      <c r="F279" s="33" t="b">
        <f t="shared" ref="F279:G279" si="143">IF(F251=TRUE,TRUE,FALSE)</f>
        <v>1</v>
      </c>
      <c r="G279" s="33" t="b">
        <f t="shared" si="143"/>
        <v>0</v>
      </c>
      <c r="H279" s="34" t="str">
        <f>IF(G279=TRUE,H251,"")</f>
        <v/>
      </c>
      <c r="I279" s="34"/>
      <c r="J279" s="14"/>
    </row>
    <row r="280" hidden="1">
      <c r="A280" s="35" t="str">
        <f>HYPERLINK("https://github.com/pytorch/pytorch/blob/f99ab991dcd3719ee25dd3377a53ea12e518308e/test/cpp_extensions/open_registration_extension/torch_openreg/tests/test_profiler.py#L29", "TestProfiler")</f>
        <v>TestProfiler</v>
      </c>
      <c r="B280" s="25" t="s">
        <v>604</v>
      </c>
      <c r="C280" s="25" t="s">
        <v>605</v>
      </c>
      <c r="D280" s="25" t="s">
        <v>541</v>
      </c>
      <c r="E280" s="36" t="s">
        <v>583</v>
      </c>
      <c r="F280" s="37" t="b">
        <f t="shared" ref="F280:G280" si="144">IF(F251=TRUE,TRUE,FALSE)</f>
        <v>1</v>
      </c>
      <c r="G280" s="37" t="b">
        <f t="shared" si="144"/>
        <v>0</v>
      </c>
      <c r="H280" s="34" t="str">
        <f>IF(G280=TRUE,H251,"")</f>
        <v/>
      </c>
      <c r="I280" s="34"/>
      <c r="J280" s="14"/>
    </row>
    <row r="281" hidden="1">
      <c r="A281" s="29" t="str">
        <f>HYPERLINK("https://github.com/pytorch/pytorch/blob/f99ab991dcd3719ee25dd3377a53ea12e518308e/test/cpp_extensions/open_registration_extension/torch_openreg/tests/test_profiler.py#L278", "TestProfilerEdgeCases")</f>
        <v>TestProfilerEdgeCases</v>
      </c>
      <c r="B281" s="30" t="s">
        <v>604</v>
      </c>
      <c r="C281" s="30" t="s">
        <v>606</v>
      </c>
      <c r="D281" s="30" t="s">
        <v>541</v>
      </c>
      <c r="E281" s="31" t="s">
        <v>583</v>
      </c>
      <c r="F281" s="33" t="b">
        <f t="shared" ref="F281:G281" si="145">IF(F251=TRUE,TRUE,FALSE)</f>
        <v>1</v>
      </c>
      <c r="G281" s="33" t="b">
        <f t="shared" si="145"/>
        <v>0</v>
      </c>
      <c r="H281" s="34" t="str">
        <f>IF(G281=TRUE,H251,"")</f>
        <v/>
      </c>
      <c r="I281" s="34"/>
      <c r="J281" s="14"/>
    </row>
    <row r="282" hidden="1">
      <c r="A282" s="35" t="str">
        <f>HYPERLINK("https://github.com/pytorch/pytorch/blob/f99ab991dcd3719ee25dd3377a53ea12e518308e/test/cpp_extensions/open_registration_extension/torch_openreg/tests/test_profiler.py#L320", "TestProfilerMultiDevice")</f>
        <v>TestProfilerMultiDevice</v>
      </c>
      <c r="B282" s="25" t="s">
        <v>604</v>
      </c>
      <c r="C282" s="25" t="s">
        <v>607</v>
      </c>
      <c r="D282" s="25" t="s">
        <v>541</v>
      </c>
      <c r="E282" s="36" t="s">
        <v>583</v>
      </c>
      <c r="F282" s="37" t="b">
        <f t="shared" ref="F282:G282" si="146">IF(F251=TRUE,TRUE,FALSE)</f>
        <v>1</v>
      </c>
      <c r="G282" s="37" t="b">
        <f t="shared" si="146"/>
        <v>0</v>
      </c>
      <c r="H282" s="34" t="str">
        <f>IF(G282=TRUE,H251,"")</f>
        <v/>
      </c>
      <c r="I282" s="34"/>
      <c r="J282" s="14"/>
    </row>
    <row r="283" hidden="1">
      <c r="A283" s="29" t="str">
        <f>HYPERLINK("https://github.com/pytorch/pytorch/blob/f99ab991dcd3719ee25dd3377a53ea12e518308e/test/cpp_extensions/open_registration_extension/torch_openreg/tests/test_profiler.py#L355", "TestProfilerIntegration")</f>
        <v>TestProfilerIntegration</v>
      </c>
      <c r="B283" s="30" t="s">
        <v>604</v>
      </c>
      <c r="C283" s="30" t="s">
        <v>608</v>
      </c>
      <c r="D283" s="30" t="s">
        <v>541</v>
      </c>
      <c r="E283" s="31" t="s">
        <v>583</v>
      </c>
      <c r="F283" s="33" t="b">
        <f t="shared" ref="F283:G283" si="147">IF(F251=TRUE,TRUE,FALSE)</f>
        <v>1</v>
      </c>
      <c r="G283" s="33" t="b">
        <f t="shared" si="147"/>
        <v>0</v>
      </c>
      <c r="H283" s="34" t="str">
        <f>IF(G283=TRUE,H251,"")</f>
        <v/>
      </c>
      <c r="I283" s="34"/>
      <c r="J283" s="14"/>
    </row>
    <row r="284" hidden="1">
      <c r="A284" s="35" t="str">
        <f>HYPERLINK("https://github.com/pytorch/pytorch/blob/f99ab991dcd3719ee25dd3377a53ea12e518308e/test/cpp_extensions/open_registration_extension/torch_openreg/tests/test_profiler.py#L524", "TestProfilerPerformance")</f>
        <v>TestProfilerPerformance</v>
      </c>
      <c r="B284" s="25" t="s">
        <v>604</v>
      </c>
      <c r="C284" s="25" t="s">
        <v>609</v>
      </c>
      <c r="D284" s="25" t="s">
        <v>541</v>
      </c>
      <c r="E284" s="36" t="s">
        <v>583</v>
      </c>
      <c r="F284" s="37" t="b">
        <f t="shared" ref="F284:G284" si="148">IF(F251=TRUE,TRUE,FALSE)</f>
        <v>1</v>
      </c>
      <c r="G284" s="37" t="b">
        <f t="shared" si="148"/>
        <v>0</v>
      </c>
      <c r="H284" s="34" t="str">
        <f>IF(G284=TRUE,H251,"")</f>
        <v/>
      </c>
      <c r="I284" s="34"/>
      <c r="J284" s="14"/>
    </row>
    <row r="285" hidden="1">
      <c r="A285" s="29" t="str">
        <f>HYPERLINK("https://github.com/pytorch/pytorch/blob/f99ab991dcd3719ee25dd3377a53ea12e518308e/test/cpp_extensions/open_registration_extension/torch_openreg/tests/test_rng.py#L9", "TestRNG")</f>
        <v>TestRNG</v>
      </c>
      <c r="B285" s="30" t="s">
        <v>610</v>
      </c>
      <c r="C285" s="30" t="s">
        <v>611</v>
      </c>
      <c r="D285" s="30" t="s">
        <v>541</v>
      </c>
      <c r="E285" s="31" t="s">
        <v>583</v>
      </c>
      <c r="F285" s="33" t="b">
        <f t="shared" ref="F285:G285" si="149">IF(F251=TRUE,TRUE,FALSE)</f>
        <v>1</v>
      </c>
      <c r="G285" s="33" t="b">
        <f t="shared" si="149"/>
        <v>0</v>
      </c>
      <c r="H285" s="34" t="str">
        <f>IF(G285=TRUE,H251,"")</f>
        <v/>
      </c>
      <c r="I285" s="34"/>
      <c r="J285" s="14"/>
    </row>
    <row r="286" hidden="1">
      <c r="A286" s="35" t="str">
        <f>HYPERLINK("https://github.com/pytorch/pytorch/blob/f99ab991dcd3719ee25dd3377a53ea12e518308e/test/cpp_extensions/open_registration_extension/torch_openreg/tests/test_storage.py#L20", "TestStorage")</f>
        <v>TestStorage</v>
      </c>
      <c r="B286" s="25" t="s">
        <v>612</v>
      </c>
      <c r="C286" s="25" t="s">
        <v>613</v>
      </c>
      <c r="D286" s="25" t="s">
        <v>64</v>
      </c>
      <c r="E286" s="36" t="s">
        <v>614</v>
      </c>
      <c r="F286" s="37" t="b">
        <f t="shared" ref="F286:G286" si="150">IF(F251=TRUE,TRUE,FALSE)</f>
        <v>1</v>
      </c>
      <c r="G286" s="37" t="b">
        <f t="shared" si="150"/>
        <v>0</v>
      </c>
      <c r="H286" s="34" t="str">
        <f>IF(G286=TRUE,H251,"")</f>
        <v/>
      </c>
      <c r="I286" s="34"/>
      <c r="J286" s="14"/>
    </row>
    <row r="287" hidden="1">
      <c r="A287" s="29" t="str">
        <f>HYPERLINK("https://github.com/pytorch/pytorch/blob/f99ab991dcd3719ee25dd3377a53ea12e518308e/test/cpp_extensions/open_registration_extension/torch_openreg/tests/test_storage.py#L35", "TestSerialization")</f>
        <v>TestSerialization</v>
      </c>
      <c r="B287" s="30" t="s">
        <v>612</v>
      </c>
      <c r="C287" s="30" t="s">
        <v>615</v>
      </c>
      <c r="D287" s="30" t="s">
        <v>541</v>
      </c>
      <c r="E287" s="31" t="s">
        <v>583</v>
      </c>
      <c r="F287" s="33" t="b">
        <f t="shared" ref="F287:G287" si="151">IF(F251=TRUE,TRUE,FALSE)</f>
        <v>1</v>
      </c>
      <c r="G287" s="33" t="b">
        <f t="shared" si="151"/>
        <v>0</v>
      </c>
      <c r="H287" s="34" t="str">
        <f>IF(G287=TRUE,H251,"")</f>
        <v/>
      </c>
      <c r="I287" s="34"/>
      <c r="J287" s="14"/>
    </row>
    <row r="288" hidden="1">
      <c r="A288" s="35" t="str">
        <f>HYPERLINK("https://github.com/pytorch/pytorch/blob/f99ab991dcd3719ee25dd3377a53ea12e518308e/test/cpp_extensions/open_registration_extension/torch_openreg/tests/test_streams.py#L7", "TestStream")</f>
        <v>TestStream</v>
      </c>
      <c r="B288" s="25" t="s">
        <v>616</v>
      </c>
      <c r="C288" s="25" t="s">
        <v>617</v>
      </c>
      <c r="D288" s="25" t="s">
        <v>565</v>
      </c>
      <c r="E288" s="36" t="s">
        <v>618</v>
      </c>
      <c r="F288" s="37" t="b">
        <f t="shared" ref="F288:G288" si="152">IF(F251=TRUE,TRUE,FALSE)</f>
        <v>1</v>
      </c>
      <c r="G288" s="37" t="b">
        <f t="shared" si="152"/>
        <v>0</v>
      </c>
      <c r="H288" s="34" t="str">
        <f>IF(G288=TRUE,H251,"")</f>
        <v/>
      </c>
      <c r="I288" s="34"/>
      <c r="J288" s="14"/>
    </row>
    <row r="289" hidden="1">
      <c r="A289" s="29" t="str">
        <f>HYPERLINK("https://github.com/pytorch/pytorch/blob/f99ab991dcd3719ee25dd3377a53ea12e518308e/test/cpp_extensions/open_registration_extension/torch_openreg/tests/test_utils.py#L9", "TestDLPack")</f>
        <v>TestDLPack</v>
      </c>
      <c r="B289" s="30" t="s">
        <v>619</v>
      </c>
      <c r="C289" s="30" t="s">
        <v>620</v>
      </c>
      <c r="D289" s="30" t="s">
        <v>541</v>
      </c>
      <c r="E289" s="31" t="s">
        <v>583</v>
      </c>
      <c r="F289" s="33" t="b">
        <f t="shared" ref="F289:G289" si="153">IF(F251=TRUE,TRUE,FALSE)</f>
        <v>1</v>
      </c>
      <c r="G289" s="33" t="b">
        <f t="shared" si="153"/>
        <v>0</v>
      </c>
      <c r="H289" s="34" t="str">
        <f>IF(G289=TRUE,H251,"")</f>
        <v/>
      </c>
      <c r="I289" s="34"/>
      <c r="J289" s="14"/>
    </row>
    <row r="290" hidden="1">
      <c r="A290" s="35" t="str">
        <f>HYPERLINK("https://github.com/pytorch/pytorch/blob/f99ab991dcd3719ee25dd3377a53ea12e518308e/test/cpp_extensions/python_agnostic_extension/test/test_python_agnostic.py#L21", "TestPythonAgnostic")</f>
        <v>TestPythonAgnostic</v>
      </c>
      <c r="B290" s="25" t="s">
        <v>621</v>
      </c>
      <c r="C290" s="25" t="s">
        <v>622</v>
      </c>
      <c r="D290" s="25" t="s">
        <v>279</v>
      </c>
      <c r="E290" s="36" t="s">
        <v>623</v>
      </c>
      <c r="F290" s="37" t="b">
        <f t="shared" ref="F290:G290" si="154">IF(F251=TRUE,TRUE,FALSE)</f>
        <v>1</v>
      </c>
      <c r="G290" s="37" t="b">
        <f t="shared" si="154"/>
        <v>0</v>
      </c>
      <c r="H290" s="34" t="str">
        <f>IF(G290=TRUE,H251,"")</f>
        <v/>
      </c>
      <c r="I290" s="34"/>
      <c r="J290" s="14"/>
    </row>
    <row r="291">
      <c r="A291" s="66" t="str">
        <f>HYPERLINK("https://github.com/pytorch/pytorch/blob/f99ab991dcd3719ee25dd3377a53ea12e518308e/test/cpp_extensions/test_libtorch_agnostic.py#L54", "TestLibtorchAgnostic")</f>
        <v>TestLibtorchAgnostic</v>
      </c>
      <c r="B291" s="22" t="s">
        <v>624</v>
      </c>
      <c r="C291" s="22" t="s">
        <v>625</v>
      </c>
      <c r="D291" s="22" t="s">
        <v>15</v>
      </c>
      <c r="E291" s="23" t="s">
        <v>626</v>
      </c>
      <c r="F291" s="44" t="b">
        <v>1</v>
      </c>
      <c r="G291" s="44" t="b">
        <v>1</v>
      </c>
      <c r="H291" s="24" t="s">
        <v>87</v>
      </c>
      <c r="I291" s="57" t="s">
        <v>17</v>
      </c>
      <c r="J291" s="67" t="s">
        <v>627</v>
      </c>
      <c r="K291" s="59"/>
      <c r="L291" s="59"/>
      <c r="M291" s="59"/>
      <c r="N291" s="59"/>
      <c r="O291" s="59"/>
      <c r="P291" s="59"/>
      <c r="Q291" s="59"/>
      <c r="R291" s="59"/>
      <c r="S291" s="59"/>
      <c r="T291" s="59"/>
      <c r="U291" s="59"/>
      <c r="V291" s="59"/>
      <c r="W291" s="59"/>
      <c r="X291" s="59"/>
      <c r="Y291" s="59"/>
      <c r="Z291" s="59"/>
    </row>
    <row r="292" hidden="1">
      <c r="A292" s="9" t="s">
        <v>628</v>
      </c>
      <c r="B292" s="10"/>
      <c r="C292" s="10"/>
      <c r="D292" s="10"/>
      <c r="E292" s="11"/>
      <c r="F292" s="12"/>
      <c r="G292" s="12"/>
      <c r="H292" s="12"/>
      <c r="I292" s="12"/>
      <c r="J292" s="14"/>
    </row>
    <row r="293" hidden="1">
      <c r="A293" s="15" t="s">
        <v>629</v>
      </c>
      <c r="B293" s="16"/>
      <c r="C293" s="16"/>
      <c r="D293" s="16"/>
      <c r="E293" s="17"/>
      <c r="F293" s="18" t="b">
        <v>1</v>
      </c>
      <c r="G293" s="18" t="b">
        <v>0</v>
      </c>
      <c r="H293" s="20"/>
      <c r="I293" s="20"/>
      <c r="J293" s="14"/>
    </row>
    <row r="294" hidden="1">
      <c r="A294" s="35" t="str">
        <f>HYPERLINK("https://github.com/pytorch/pytorch/blob/f99ab991dcd3719ee25dd3377a53ea12e518308e/test/custom_backend/test_custom_backend.py#L11", "TestCustomBackend")</f>
        <v>TestCustomBackend</v>
      </c>
      <c r="B294" s="25" t="s">
        <v>630</v>
      </c>
      <c r="C294" s="25" t="s">
        <v>631</v>
      </c>
      <c r="D294" s="25" t="s">
        <v>64</v>
      </c>
      <c r="E294" s="36" t="s">
        <v>632</v>
      </c>
      <c r="F294" s="37" t="b">
        <f t="shared" ref="F294:G294" si="155">IF(F293=TRUE,TRUE,FALSE)</f>
        <v>1</v>
      </c>
      <c r="G294" s="37" t="b">
        <f t="shared" si="155"/>
        <v>0</v>
      </c>
      <c r="H294" s="34" t="str">
        <f>IF(G294=TRUE,H293,"")</f>
        <v/>
      </c>
      <c r="I294" s="34"/>
      <c r="J294" s="14"/>
    </row>
    <row r="295" hidden="1">
      <c r="A295" s="29" t="str">
        <f>HYPERLINK("https://github.com/pytorch/pytorch/blob/f99ab991dcd3719ee25dd3377a53ea12e518308e/test/custom_operator/test_custom_ops.py#L18", "TestCustomOperators")</f>
        <v>TestCustomOperators</v>
      </c>
      <c r="B295" s="30" t="s">
        <v>633</v>
      </c>
      <c r="C295" s="30" t="s">
        <v>634</v>
      </c>
      <c r="D295" s="30" t="s">
        <v>172</v>
      </c>
      <c r="E295" s="31" t="s">
        <v>635</v>
      </c>
      <c r="F295" s="33" t="b">
        <f t="shared" ref="F295:G295" si="156">IF(F293=TRUE,TRUE,FALSE)</f>
        <v>1</v>
      </c>
      <c r="G295" s="33" t="b">
        <f t="shared" si="156"/>
        <v>0</v>
      </c>
      <c r="H295" s="34" t="str">
        <f>IF(G295=TRUE,H293,"")</f>
        <v/>
      </c>
      <c r="I295" s="34"/>
      <c r="J295" s="14"/>
    </row>
    <row r="296" hidden="1">
      <c r="A296" s="35" t="str">
        <f>HYPERLINK("https://github.com/pytorch/pytorch/blob/f99ab991dcd3719ee25dd3377a53ea12e518308e/test/custom_operator/test_infer_schema_annotation.py#L19", "TestInferSchemaWithAnnotation")</f>
        <v>TestInferSchemaWithAnnotation</v>
      </c>
      <c r="B296" s="25" t="s">
        <v>636</v>
      </c>
      <c r="C296" s="25" t="s">
        <v>637</v>
      </c>
      <c r="D296" s="25" t="s">
        <v>64</v>
      </c>
      <c r="E296" s="36" t="s">
        <v>638</v>
      </c>
      <c r="F296" s="37" t="b">
        <f t="shared" ref="F296:G296" si="157">IF(F293=TRUE,TRUE,FALSE)</f>
        <v>1</v>
      </c>
      <c r="G296" s="37" t="b">
        <f t="shared" si="157"/>
        <v>0</v>
      </c>
      <c r="H296" s="34" t="str">
        <f>IF(G296=TRUE,H293,"")</f>
        <v/>
      </c>
      <c r="I296" s="34"/>
      <c r="J296" s="14"/>
    </row>
    <row r="297" hidden="1">
      <c r="A297" s="29" t="str">
        <f>HYPERLINK("https://github.com/pytorch/pytorch/blob/f99ab991dcd3719ee25dd3377a53ea12e518308e/test/test_custom_ops.py#L77", "CustomOpTestCaseBase")</f>
        <v>CustomOpTestCaseBase</v>
      </c>
      <c r="B297" s="30" t="s">
        <v>639</v>
      </c>
      <c r="C297" s="30" t="s">
        <v>640</v>
      </c>
      <c r="D297" s="30" t="s">
        <v>64</v>
      </c>
      <c r="E297" s="31" t="s">
        <v>641</v>
      </c>
      <c r="F297" s="33" t="b">
        <f t="shared" ref="F297:G297" si="158">IF(F293=TRUE,TRUE,FALSE)</f>
        <v>1</v>
      </c>
      <c r="G297" s="33" t="b">
        <f t="shared" si="158"/>
        <v>0</v>
      </c>
      <c r="H297" s="34" t="str">
        <f>IF(G297=TRUE,H293,"")</f>
        <v/>
      </c>
      <c r="I297" s="34"/>
      <c r="J297" s="14"/>
    </row>
    <row r="298" hidden="1">
      <c r="A298" s="68" t="str">
        <f>HYPERLINK("https://github.com/pytorch/pytorch/blob/f99ab991dcd3719ee25dd3377a53ea12e518308e/test/test_custom_ops.py#L112", "TestCustomOpTesting")</f>
        <v>TestCustomOpTesting</v>
      </c>
      <c r="B298" s="51" t="s">
        <v>639</v>
      </c>
      <c r="C298" s="51" t="s">
        <v>642</v>
      </c>
      <c r="D298" s="51" t="s">
        <v>279</v>
      </c>
      <c r="E298" s="52" t="s">
        <v>643</v>
      </c>
      <c r="F298" s="53" t="b">
        <f>IF(F293=TRUE,TRUE,FALSE)</f>
        <v>1</v>
      </c>
      <c r="G298" s="53" t="s">
        <v>644</v>
      </c>
      <c r="H298" s="51" t="str">
        <f>IF(G298=TRUE,H293,"")</f>
        <v/>
      </c>
      <c r="I298" s="26" t="s">
        <v>45</v>
      </c>
      <c r="J298" s="64"/>
    </row>
    <row r="299">
      <c r="A299" s="21" t="str">
        <f>HYPERLINK("https://github.com/pytorch/pytorch/blob/f99ab991dcd3719ee25dd3377a53ea12e518308e/test/test_custom_ops.py#L548", "TestCustomOp")</f>
        <v>TestCustomOp</v>
      </c>
      <c r="B299" s="22" t="s">
        <v>639</v>
      </c>
      <c r="C299" s="22" t="s">
        <v>645</v>
      </c>
      <c r="D299" s="22" t="s">
        <v>112</v>
      </c>
      <c r="E299" s="23" t="s">
        <v>646</v>
      </c>
      <c r="F299" s="24" t="b">
        <f>IF(F293=TRUE,TRUE,FALSE)</f>
        <v>1</v>
      </c>
      <c r="G299" s="24" t="b">
        <v>1</v>
      </c>
      <c r="H299" s="26" t="s">
        <v>169</v>
      </c>
      <c r="I299" s="26" t="s">
        <v>45</v>
      </c>
      <c r="J299" s="27" t="s">
        <v>647</v>
      </c>
    </row>
    <row r="300" hidden="1">
      <c r="A300" s="35" t="str">
        <f>HYPERLINK("https://github.com/pytorch/pytorch/blob/f99ab991dcd3719ee25dd3377a53ea12e518308e/test/test_custom_ops.py#L2383", "MiniOpTest")</f>
        <v>MiniOpTest</v>
      </c>
      <c r="B300" s="25" t="s">
        <v>639</v>
      </c>
      <c r="C300" s="25" t="s">
        <v>648</v>
      </c>
      <c r="D300" s="25" t="s">
        <v>172</v>
      </c>
      <c r="E300" s="36" t="s">
        <v>649</v>
      </c>
      <c r="F300" s="37" t="b">
        <f t="shared" ref="F300:G300" si="159">IF(F293=TRUE,TRUE,FALSE)</f>
        <v>1</v>
      </c>
      <c r="G300" s="37" t="b">
        <f t="shared" si="159"/>
        <v>0</v>
      </c>
      <c r="H300" s="34" t="str">
        <f>IF(G300=TRUE,H293,"")</f>
        <v/>
      </c>
      <c r="I300" s="26"/>
      <c r="J300" s="14"/>
    </row>
    <row r="301">
      <c r="A301" s="21" t="str">
        <f>HYPERLINK("https://github.com/pytorch/pytorch/blob/f99ab991dcd3719ee25dd3377a53ea12e518308e/test/test_custom_ops.py#L2488", "TestCustomOpAPI")</f>
        <v>TestCustomOpAPI</v>
      </c>
      <c r="B301" s="22" t="s">
        <v>639</v>
      </c>
      <c r="C301" s="22" t="s">
        <v>650</v>
      </c>
      <c r="D301" s="22" t="s">
        <v>112</v>
      </c>
      <c r="E301" s="23" t="s">
        <v>651</v>
      </c>
      <c r="F301" s="24" t="b">
        <f>IF(F293=TRUE,TRUE,FALSE)</f>
        <v>1</v>
      </c>
      <c r="G301" s="24" t="b">
        <v>1</v>
      </c>
      <c r="H301" s="26" t="s">
        <v>169</v>
      </c>
      <c r="I301" s="26" t="s">
        <v>45</v>
      </c>
      <c r="J301" s="27" t="s">
        <v>647</v>
      </c>
    </row>
    <row r="302" hidden="1">
      <c r="A302" s="35" t="str">
        <f>HYPERLINK("https://github.com/pytorch/pytorch/blob/f99ab991dcd3719ee25dd3377a53ea12e518308e/test/test_custom_ops.py#L4503", "MiniOpTestOther")</f>
        <v>MiniOpTestOther</v>
      </c>
      <c r="B302" s="25" t="s">
        <v>639</v>
      </c>
      <c r="C302" s="25" t="s">
        <v>652</v>
      </c>
      <c r="D302" s="25" t="s">
        <v>64</v>
      </c>
      <c r="E302" s="36" t="s">
        <v>649</v>
      </c>
      <c r="F302" s="37" t="b">
        <f t="shared" ref="F302:G302" si="160">IF(F293=TRUE,TRUE,FALSE)</f>
        <v>1</v>
      </c>
      <c r="G302" s="37" t="b">
        <f t="shared" si="160"/>
        <v>0</v>
      </c>
      <c r="H302" s="34" t="str">
        <f>IF(G302=TRUE,H293,"")</f>
        <v/>
      </c>
      <c r="I302" s="26"/>
      <c r="J302" s="14"/>
    </row>
    <row r="303" hidden="1">
      <c r="A303" s="68" t="str">
        <f>HYPERLINK("https://github.com/pytorch/pytorch/blob/f99ab991dcd3719ee25dd3377a53ea12e518308e/test/test_custom_ops.py#L4530", "TestGenerateOpcheckTests")</f>
        <v>TestGenerateOpcheckTests</v>
      </c>
      <c r="B303" s="51" t="s">
        <v>639</v>
      </c>
      <c r="C303" s="51" t="s">
        <v>653</v>
      </c>
      <c r="D303" s="51" t="s">
        <v>284</v>
      </c>
      <c r="E303" s="52" t="s">
        <v>654</v>
      </c>
      <c r="F303" s="53" t="s">
        <v>644</v>
      </c>
      <c r="G303" s="53" t="s">
        <v>644</v>
      </c>
      <c r="H303" s="51" t="str">
        <f>IF(G303=TRUE,H293,"")</f>
        <v/>
      </c>
      <c r="I303" s="26" t="s">
        <v>45</v>
      </c>
      <c r="J303" s="14"/>
    </row>
    <row r="304" hidden="1">
      <c r="A304" s="35" t="str">
        <f>HYPERLINK("https://github.com/pytorch/pytorch/blob/f99ab991dcd3719ee25dd3377a53ea12e518308e/test/test_custom_ops.py#L4759", "TestTypeConversion")</f>
        <v>TestTypeConversion</v>
      </c>
      <c r="B304" s="25" t="s">
        <v>639</v>
      </c>
      <c r="C304" s="25" t="s">
        <v>655</v>
      </c>
      <c r="D304" s="25" t="s">
        <v>64</v>
      </c>
      <c r="E304" s="36" t="s">
        <v>656</v>
      </c>
      <c r="F304" s="37" t="b">
        <f t="shared" ref="F304:G304" si="161">IF(F293=TRUE,TRUE,FALSE)</f>
        <v>1</v>
      </c>
      <c r="G304" s="37" t="b">
        <f t="shared" si="161"/>
        <v>0</v>
      </c>
      <c r="H304" s="34" t="str">
        <f>IF(G304=TRUE,H293,"")</f>
        <v/>
      </c>
      <c r="I304" s="26"/>
      <c r="J304" s="14"/>
    </row>
    <row r="305" hidden="1">
      <c r="A305" s="29" t="str">
        <f>HYPERLINK("https://github.com/pytorch/pytorch/blob/f99ab991dcd3719ee25dd3377a53ea12e518308e/test/test_custom_ops.py#L4804", "TestOpProfiles")</f>
        <v>TestOpProfiles</v>
      </c>
      <c r="B305" s="30" t="s">
        <v>639</v>
      </c>
      <c r="C305" s="30" t="s">
        <v>657</v>
      </c>
      <c r="D305" s="30" t="s">
        <v>172</v>
      </c>
      <c r="E305" s="31" t="s">
        <v>658</v>
      </c>
      <c r="F305" s="33" t="b">
        <f t="shared" ref="F305:G305" si="162">IF(F293=TRUE,TRUE,FALSE)</f>
        <v>1</v>
      </c>
      <c r="G305" s="33" t="b">
        <f t="shared" si="162"/>
        <v>0</v>
      </c>
      <c r="H305" s="34" t="str">
        <f>IF(G305=TRUE,H293,"")</f>
        <v/>
      </c>
      <c r="I305" s="26"/>
      <c r="J305" s="14"/>
    </row>
    <row r="306" hidden="1">
      <c r="A306" s="35" t="str">
        <f>HYPERLINK("https://github.com/pytorch/pytorch/blob/f99ab991dcd3719ee25dd3377a53ea12e518308e/test/test_opaque_obj_v2.py#L438", "TestOpaqueObject")</f>
        <v>TestOpaqueObject</v>
      </c>
      <c r="B306" s="25" t="s">
        <v>659</v>
      </c>
      <c r="C306" s="25" t="s">
        <v>660</v>
      </c>
      <c r="D306" s="25" t="s">
        <v>64</v>
      </c>
      <c r="E306" s="36" t="s">
        <v>661</v>
      </c>
      <c r="F306" s="37" t="b">
        <f t="shared" ref="F306:G306" si="163">IF(F293=TRUE,TRUE,FALSE)</f>
        <v>1</v>
      </c>
      <c r="G306" s="37" t="b">
        <f t="shared" si="163"/>
        <v>0</v>
      </c>
      <c r="H306" s="34" t="str">
        <f>IF(G306=TRUE,H293,"")</f>
        <v/>
      </c>
      <c r="I306" s="34"/>
      <c r="J306" s="14"/>
    </row>
    <row r="307" hidden="1">
      <c r="A307" s="9" t="s">
        <v>662</v>
      </c>
      <c r="B307" s="10"/>
      <c r="C307" s="10"/>
      <c r="D307" s="10"/>
      <c r="E307" s="11"/>
      <c r="F307" s="12"/>
      <c r="G307" s="12"/>
      <c r="H307" s="12"/>
      <c r="I307" s="12"/>
      <c r="J307" s="14"/>
    </row>
    <row r="308" hidden="1">
      <c r="A308" s="15" t="s">
        <v>663</v>
      </c>
      <c r="B308" s="16"/>
      <c r="C308" s="16"/>
      <c r="D308" s="16"/>
      <c r="E308" s="17"/>
      <c r="F308" s="18" t="b">
        <v>1</v>
      </c>
      <c r="G308" s="18" t="b">
        <v>0</v>
      </c>
      <c r="H308" s="20"/>
      <c r="I308" s="20"/>
      <c r="J308" s="14"/>
    </row>
    <row r="309" hidden="1">
      <c r="A309" s="29" t="str">
        <f>HYPERLINK("https://github.com/pytorch/pytorch/blob/f99ab991dcd3719ee25dd3377a53ea12e518308e/test/test_accelerator.py#L25", "TestAccelerator")</f>
        <v>TestAccelerator</v>
      </c>
      <c r="B309" s="30" t="s">
        <v>664</v>
      </c>
      <c r="C309" s="30" t="s">
        <v>665</v>
      </c>
      <c r="D309" s="30" t="s">
        <v>565</v>
      </c>
      <c r="E309" s="31" t="s">
        <v>666</v>
      </c>
      <c r="F309" s="33" t="b">
        <f t="shared" ref="F309:G309" si="164">IF(F308=TRUE,TRUE,FALSE)</f>
        <v>1</v>
      </c>
      <c r="G309" s="33" t="b">
        <f t="shared" si="164"/>
        <v>0</v>
      </c>
      <c r="H309" s="34" t="str">
        <f>IF(G309=TRUE,H308,"")</f>
        <v/>
      </c>
      <c r="I309" s="34"/>
      <c r="J309" s="14"/>
    </row>
    <row r="310" hidden="1">
      <c r="A310" s="35" t="str">
        <f>HYPERLINK("https://github.com/pytorch/pytorch/blob/f99ab991dcd3719ee25dd3377a53ea12e518308e/test/test_autoload.py#L8", "TestDeviceBackendAutoload")</f>
        <v>TestDeviceBackendAutoload</v>
      </c>
      <c r="B310" s="25" t="s">
        <v>667</v>
      </c>
      <c r="C310" s="25" t="s">
        <v>668</v>
      </c>
      <c r="D310" s="25" t="s">
        <v>541</v>
      </c>
      <c r="E310" s="36" t="s">
        <v>669</v>
      </c>
      <c r="F310" s="37" t="b">
        <f t="shared" ref="F310:G310" si="165">IF(F308=TRUE,TRUE,FALSE)</f>
        <v>1</v>
      </c>
      <c r="G310" s="37" t="b">
        <f t="shared" si="165"/>
        <v>0</v>
      </c>
      <c r="H310" s="34" t="str">
        <f>IF(G310=TRUE,H308,"")</f>
        <v/>
      </c>
      <c r="I310" s="34"/>
      <c r="J310" s="14"/>
    </row>
    <row r="311" hidden="1">
      <c r="A311" s="29" t="str">
        <f>HYPERLINK("https://github.com/pytorch/pytorch/blob/f99ab991dcd3719ee25dd3377a53ea12e518308e/test/test_privateuseone_python_backend.py#L122", "PrivateUse1BackendTest")</f>
        <v>PrivateUse1BackendTest</v>
      </c>
      <c r="B311" s="30" t="s">
        <v>670</v>
      </c>
      <c r="C311" s="30" t="s">
        <v>671</v>
      </c>
      <c r="D311" s="30" t="s">
        <v>541</v>
      </c>
      <c r="E311" s="31" t="s">
        <v>672</v>
      </c>
      <c r="F311" s="33" t="b">
        <f t="shared" ref="F311:G311" si="166">IF(F308=TRUE,TRUE,FALSE)</f>
        <v>1</v>
      </c>
      <c r="G311" s="33" t="b">
        <f t="shared" si="166"/>
        <v>0</v>
      </c>
      <c r="H311" s="34" t="str">
        <f>IF(G311=TRUE,H308,"")</f>
        <v/>
      </c>
      <c r="I311" s="34"/>
      <c r="J311" s="14"/>
    </row>
    <row r="312" hidden="1">
      <c r="A312" s="35" t="str">
        <f>HYPERLINK("https://github.com/pytorch/pytorch/blob/f99ab991dcd3719ee25dd3377a53ea12e518308e/test/test_rename_privateuse1_to_existing_device.py#L33", "TestRenamePrivateuseoneToExistingBackend")</f>
        <v>TestRenamePrivateuseoneToExistingBackend</v>
      </c>
      <c r="B312" s="25" t="s">
        <v>673</v>
      </c>
      <c r="C312" s="25" t="s">
        <v>674</v>
      </c>
      <c r="D312" s="25" t="s">
        <v>541</v>
      </c>
      <c r="E312" s="36" t="s">
        <v>675</v>
      </c>
      <c r="F312" s="37" t="b">
        <f t="shared" ref="F312:G312" si="167">IF(F308=TRUE,TRUE,FALSE)</f>
        <v>1</v>
      </c>
      <c r="G312" s="37" t="b">
        <f t="shared" si="167"/>
        <v>0</v>
      </c>
      <c r="H312" s="34" t="str">
        <f>IF(G312=TRUE,H308,"")</f>
        <v/>
      </c>
      <c r="I312" s="34"/>
      <c r="J312" s="14"/>
    </row>
    <row r="313" hidden="1">
      <c r="A313" s="15" t="s">
        <v>676</v>
      </c>
      <c r="B313" s="16"/>
      <c r="C313" s="16"/>
      <c r="D313" s="16"/>
      <c r="E313" s="17"/>
      <c r="F313" s="18" t="b">
        <v>1</v>
      </c>
      <c r="G313" s="18" t="b">
        <v>0</v>
      </c>
      <c r="H313" s="20"/>
      <c r="I313" s="20"/>
      <c r="J313" s="14"/>
    </row>
    <row r="314" hidden="1">
      <c r="A314" s="29" t="str">
        <f>HYPERLINK("https://github.com/pytorch/pytorch/blob/f99ab991dcd3719ee25dd3377a53ea12e518308e/test/backends/xeon/test_launch.py#L12", "TestTorchrun")</f>
        <v>TestTorchrun</v>
      </c>
      <c r="B314" s="30" t="s">
        <v>677</v>
      </c>
      <c r="C314" s="30" t="s">
        <v>678</v>
      </c>
      <c r="D314" s="30" t="s">
        <v>172</v>
      </c>
      <c r="E314" s="31" t="s">
        <v>679</v>
      </c>
      <c r="F314" s="33" t="b">
        <v>0</v>
      </c>
      <c r="G314" s="33" t="b">
        <f>IF(G313=TRUE,TRUE,FALSE)</f>
        <v>0</v>
      </c>
      <c r="H314" s="34" t="str">
        <f>IF(G314=TRUE,H313,"")</f>
        <v/>
      </c>
      <c r="I314" s="34"/>
      <c r="J314" s="14"/>
    </row>
    <row r="315" hidden="1">
      <c r="A315" s="9" t="s">
        <v>680</v>
      </c>
      <c r="B315" s="10"/>
      <c r="C315" s="10"/>
      <c r="D315" s="10"/>
      <c r="E315" s="11"/>
      <c r="F315" s="12"/>
      <c r="G315" s="12"/>
      <c r="H315" s="12"/>
      <c r="I315" s="12"/>
      <c r="J315" s="14"/>
    </row>
    <row r="316" hidden="1">
      <c r="A316" s="15" t="s">
        <v>681</v>
      </c>
      <c r="B316" s="16"/>
      <c r="C316" s="16"/>
      <c r="D316" s="16"/>
      <c r="E316" s="17"/>
      <c r="F316" s="18" t="b">
        <v>1</v>
      </c>
      <c r="G316" s="18" t="b">
        <v>0</v>
      </c>
      <c r="H316" s="20"/>
      <c r="I316" s="20"/>
      <c r="J316" s="14"/>
    </row>
    <row r="317" hidden="1">
      <c r="A317" s="35" t="str">
        <f>HYPERLINK("https://github.com/pytorch/pytorch/blob/f99ab991dcd3719ee25dd3377a53ea12e518308e/test/test_futures.py#L19", "TestFuture")</f>
        <v>TestFuture</v>
      </c>
      <c r="B317" s="25" t="s">
        <v>682</v>
      </c>
      <c r="C317" s="25" t="s">
        <v>683</v>
      </c>
      <c r="D317" s="25" t="s">
        <v>64</v>
      </c>
      <c r="E317" s="36" t="s">
        <v>684</v>
      </c>
      <c r="F317" s="37" t="b">
        <f t="shared" ref="F317:G317" si="168">IF(F316=TRUE,TRUE,FALSE)</f>
        <v>1</v>
      </c>
      <c r="G317" s="37" t="b">
        <f t="shared" si="168"/>
        <v>0</v>
      </c>
      <c r="H317" s="34" t="str">
        <f>IF(G317=TRUE,H316,"")</f>
        <v/>
      </c>
      <c r="I317" s="34"/>
      <c r="J317" s="14"/>
    </row>
    <row r="318">
      <c r="A318" s="21" t="str">
        <f>HYPERLINK("https://github.com/pytorch/pytorch/blob/f99ab991dcd3719ee25dd3377a53ea12e518308e/test/test_multiprocessing.py#L314", "TestMultiprocessing")</f>
        <v>TestMultiprocessing</v>
      </c>
      <c r="B318" s="22" t="s">
        <v>685</v>
      </c>
      <c r="C318" s="22" t="s">
        <v>686</v>
      </c>
      <c r="D318" s="22" t="s">
        <v>112</v>
      </c>
      <c r="E318" s="23" t="s">
        <v>687</v>
      </c>
      <c r="F318" s="24" t="b">
        <f>IF(F316=TRUE,TRUE,FALSE)</f>
        <v>1</v>
      </c>
      <c r="G318" s="44" t="b">
        <v>1</v>
      </c>
      <c r="H318" s="26" t="s">
        <v>114</v>
      </c>
      <c r="I318" s="26" t="s">
        <v>17</v>
      </c>
      <c r="J318" s="27" t="s">
        <v>688</v>
      </c>
    </row>
    <row r="319" hidden="1">
      <c r="A319" s="35" t="str">
        <f>HYPERLINK("https://github.com/pytorch/pytorch/blob/f99ab991dcd3719ee25dd3377a53ea12e518308e/test/test_multiprocessing_spawn.py#L214", "SpawnTest")</f>
        <v>SpawnTest</v>
      </c>
      <c r="B319" s="25" t="s">
        <v>689</v>
      </c>
      <c r="C319" s="25" t="s">
        <v>690</v>
      </c>
      <c r="D319" s="25" t="s">
        <v>64</v>
      </c>
      <c r="E319" s="36" t="s">
        <v>691</v>
      </c>
      <c r="F319" s="37" t="b">
        <f t="shared" ref="F319:G319" si="169">IF(F316=TRUE,TRUE,FALSE)</f>
        <v>1</v>
      </c>
      <c r="G319" s="37" t="b">
        <f t="shared" si="169"/>
        <v>0</v>
      </c>
      <c r="H319" s="34" t="str">
        <f>IF(G319=TRUE,H316,"")</f>
        <v/>
      </c>
      <c r="I319" s="34"/>
      <c r="J319" s="14"/>
    </row>
    <row r="320" hidden="1">
      <c r="A320" s="29" t="str">
        <f>HYPERLINK("https://github.com/pytorch/pytorch/blob/f99ab991dcd3719ee25dd3377a53ea12e518308e/test/test_multiprocessing_spawn.py#L238", "ForkTest")</f>
        <v>ForkTest</v>
      </c>
      <c r="B320" s="30" t="s">
        <v>689</v>
      </c>
      <c r="C320" s="30" t="s">
        <v>692</v>
      </c>
      <c r="D320" s="30" t="s">
        <v>64</v>
      </c>
      <c r="E320" s="31" t="s">
        <v>693</v>
      </c>
      <c r="F320" s="33" t="b">
        <f t="shared" ref="F320:G320" si="170">IF(F316=TRUE,TRUE,FALSE)</f>
        <v>1</v>
      </c>
      <c r="G320" s="33" t="b">
        <f t="shared" si="170"/>
        <v>0</v>
      </c>
      <c r="H320" s="34" t="str">
        <f>IF(G320=TRUE,H316,"")</f>
        <v/>
      </c>
      <c r="I320" s="34"/>
      <c r="J320" s="14"/>
    </row>
    <row r="321" hidden="1">
      <c r="A321" s="35" t="str">
        <f>HYPERLINK("https://github.com/pytorch/pytorch/blob/f99ab991dcd3719ee25dd3377a53ea12e518308e/test/test_multiprocessing_spawn.py#L246", "ParallelForkServerShouldWorkTest")</f>
        <v>ParallelForkServerShouldWorkTest</v>
      </c>
      <c r="B321" s="25" t="s">
        <v>689</v>
      </c>
      <c r="C321" s="25" t="s">
        <v>694</v>
      </c>
      <c r="D321" s="25" t="s">
        <v>64</v>
      </c>
      <c r="E321" s="36" t="s">
        <v>695</v>
      </c>
      <c r="F321" s="37" t="b">
        <f t="shared" ref="F321:G321" si="171">IF(F316=TRUE,TRUE,FALSE)</f>
        <v>1</v>
      </c>
      <c r="G321" s="37" t="b">
        <f t="shared" si="171"/>
        <v>0</v>
      </c>
      <c r="H321" s="34" t="str">
        <f>IF(G321=TRUE,H316,"")</f>
        <v/>
      </c>
      <c r="I321" s="34"/>
      <c r="J321" s="14"/>
    </row>
    <row r="322" hidden="1">
      <c r="A322" s="29" t="str">
        <f>HYPERLINK("https://github.com/pytorch/pytorch/blob/f99ab991dcd3719ee25dd3377a53ea12e518308e/test/test_multiprocessing_spawn.py#L266", "ParallelForkServerPerfTest")</f>
        <v>ParallelForkServerPerfTest</v>
      </c>
      <c r="B322" s="30" t="s">
        <v>689</v>
      </c>
      <c r="C322" s="30" t="s">
        <v>696</v>
      </c>
      <c r="D322" s="30" t="s">
        <v>64</v>
      </c>
      <c r="E322" s="31" t="s">
        <v>697</v>
      </c>
      <c r="F322" s="33" t="b">
        <f t="shared" ref="F322:G322" si="172">IF(F316=TRUE,TRUE,FALSE)</f>
        <v>1</v>
      </c>
      <c r="G322" s="33" t="b">
        <f t="shared" si="172"/>
        <v>0</v>
      </c>
      <c r="H322" s="34" t="str">
        <f>IF(G322=TRUE,H316,"")</f>
        <v/>
      </c>
      <c r="I322" s="34"/>
      <c r="J322" s="14"/>
    </row>
    <row r="323" hidden="1">
      <c r="A323" s="35" t="str">
        <f>HYPERLINK("https://github.com/pytorch/pytorch/blob/f99ab991dcd3719ee25dd3377a53ea12e518308e/test/test_multiprocessing_spawn.py#L315", "ErrorTest")</f>
        <v>ErrorTest</v>
      </c>
      <c r="B323" s="25" t="s">
        <v>689</v>
      </c>
      <c r="C323" s="25" t="s">
        <v>698</v>
      </c>
      <c r="D323" s="25" t="s">
        <v>64</v>
      </c>
      <c r="E323" s="36" t="s">
        <v>699</v>
      </c>
      <c r="F323" s="37" t="b">
        <f t="shared" ref="F323:G323" si="173">IF(F316=TRUE,TRUE,FALSE)</f>
        <v>1</v>
      </c>
      <c r="G323" s="37" t="b">
        <f t="shared" si="173"/>
        <v>0</v>
      </c>
      <c r="H323" s="34" t="str">
        <f>IF(G323=TRUE,H316,"")</f>
        <v/>
      </c>
      <c r="I323" s="34"/>
      <c r="J323" s="14"/>
    </row>
    <row r="324" hidden="1">
      <c r="A324" s="21" t="str">
        <f>HYPERLINK("https://github.com/pytorch/pytorch/blob/f99ab991dcd3719ee25dd3377a53ea12e518308e/test/test_numa_binding.py#L47", "NumaBindingTest")</f>
        <v>NumaBindingTest</v>
      </c>
      <c r="B324" s="22" t="s">
        <v>700</v>
      </c>
      <c r="C324" s="22" t="s">
        <v>701</v>
      </c>
      <c r="D324" s="22" t="s">
        <v>284</v>
      </c>
      <c r="E324" s="23" t="s">
        <v>702</v>
      </c>
      <c r="F324" s="44" t="b">
        <v>1</v>
      </c>
      <c r="G324" s="24" t="b">
        <f>IF(G316=TRUE,TRUE,FALSE)</f>
        <v>0</v>
      </c>
      <c r="H324" s="57" t="s">
        <v>87</v>
      </c>
      <c r="I324" s="26" t="s">
        <v>17</v>
      </c>
      <c r="J324" s="58" t="s">
        <v>703</v>
      </c>
      <c r="K324" s="59"/>
      <c r="L324" s="59"/>
      <c r="M324" s="59"/>
      <c r="N324" s="59"/>
      <c r="O324" s="59"/>
      <c r="P324" s="59"/>
      <c r="Q324" s="59"/>
      <c r="R324" s="59"/>
      <c r="S324" s="59"/>
      <c r="T324" s="59"/>
      <c r="U324" s="59"/>
      <c r="V324" s="59"/>
      <c r="W324" s="59"/>
      <c r="X324" s="59"/>
      <c r="Y324" s="59"/>
      <c r="Z324" s="59"/>
    </row>
    <row r="325" hidden="1">
      <c r="A325" s="9" t="s">
        <v>704</v>
      </c>
      <c r="B325" s="10"/>
      <c r="C325" s="10"/>
      <c r="D325" s="10"/>
      <c r="E325" s="11"/>
      <c r="F325" s="12"/>
      <c r="G325" s="12"/>
      <c r="H325" s="12"/>
      <c r="I325" s="12"/>
      <c r="J325" s="14"/>
    </row>
    <row r="326" hidden="1">
      <c r="A326" s="15" t="s">
        <v>705</v>
      </c>
      <c r="B326" s="16"/>
      <c r="C326" s="16"/>
      <c r="D326" s="16"/>
      <c r="E326" s="17"/>
      <c r="F326" s="18" t="b">
        <v>1</v>
      </c>
      <c r="G326" s="18" t="b">
        <v>0</v>
      </c>
      <c r="H326" s="20"/>
      <c r="I326" s="20"/>
      <c r="J326" s="14"/>
    </row>
    <row r="327" hidden="1">
      <c r="A327" s="35" t="str">
        <f>HYPERLINK("https://github.com/pytorch/pytorch/blob/f99ab991dcd3719ee25dd3377a53ea12e518308e/test/test_comparison_utils.py#L10", "TestComparisonUtils")</f>
        <v>TestComparisonUtils</v>
      </c>
      <c r="B327" s="25" t="s">
        <v>706</v>
      </c>
      <c r="C327" s="25" t="s">
        <v>707</v>
      </c>
      <c r="D327" s="25" t="s">
        <v>112</v>
      </c>
      <c r="E327" s="36" t="s">
        <v>708</v>
      </c>
      <c r="F327" s="37" t="b">
        <f t="shared" ref="F327:G327" si="174">IF(F326=TRUE,TRUE,FALSE)</f>
        <v>1</v>
      </c>
      <c r="G327" s="37" t="b">
        <f t="shared" si="174"/>
        <v>0</v>
      </c>
      <c r="H327" s="34" t="str">
        <f>IF(G327=TRUE,H326,"")</f>
        <v/>
      </c>
      <c r="I327" s="34"/>
      <c r="J327" s="14"/>
    </row>
    <row r="328" hidden="1">
      <c r="A328" s="29" t="str">
        <f>HYPERLINK("https://github.com/pytorch/pytorch/blob/f99ab991dcd3719ee25dd3377a53ea12e518308e/test/test_file_check.py#L7", "TestFileCheck")</f>
        <v>TestFileCheck</v>
      </c>
      <c r="B328" s="30" t="s">
        <v>709</v>
      </c>
      <c r="C328" s="30" t="s">
        <v>710</v>
      </c>
      <c r="D328" s="30" t="s">
        <v>64</v>
      </c>
      <c r="E328" s="31" t="s">
        <v>711</v>
      </c>
      <c r="F328" s="33" t="b">
        <f t="shared" ref="F328:G328" si="175">IF(F326=TRUE,TRUE,FALSE)</f>
        <v>1</v>
      </c>
      <c r="G328" s="33" t="b">
        <f t="shared" si="175"/>
        <v>0</v>
      </c>
      <c r="H328" s="34" t="str">
        <f>IF(G328=TRUE,H326,"")</f>
        <v/>
      </c>
      <c r="I328" s="34"/>
      <c r="J328" s="14"/>
    </row>
    <row r="329">
      <c r="A329" s="21" t="str">
        <f>HYPERLINK("https://github.com/pytorch/pytorch/blob/f99ab991dcd3719ee25dd3377a53ea12e518308e/test/test_testing.py#L40", "TestTesting")</f>
        <v>TestTesting</v>
      </c>
      <c r="B329" s="22" t="s">
        <v>712</v>
      </c>
      <c r="C329" s="22" t="s">
        <v>713</v>
      </c>
      <c r="D329" s="22" t="s">
        <v>15</v>
      </c>
      <c r="E329" s="23" t="s">
        <v>714</v>
      </c>
      <c r="F329" s="24" t="s">
        <v>310</v>
      </c>
      <c r="G329" s="24" t="b">
        <v>1</v>
      </c>
      <c r="H329" s="26" t="s">
        <v>87</v>
      </c>
      <c r="I329" s="26" t="s">
        <v>17</v>
      </c>
      <c r="J329" s="27" t="s">
        <v>715</v>
      </c>
    </row>
    <row r="330" hidden="1">
      <c r="A330" s="29" t="str">
        <f>HYPERLINK("https://github.com/pytorch/pytorch/blob/f99ab991dcd3719ee25dd3377a53ea12e518308e/test/test_testing.py#L493", "TestFrameworkUtils")</f>
        <v>TestFrameworkUtils</v>
      </c>
      <c r="B330" s="30" t="s">
        <v>712</v>
      </c>
      <c r="C330" s="30" t="s">
        <v>716</v>
      </c>
      <c r="D330" s="30" t="s">
        <v>172</v>
      </c>
      <c r="E330" s="31" t="s">
        <v>717</v>
      </c>
      <c r="F330" s="33" t="b">
        <f t="shared" ref="F330:G330" si="176">IF(F326=TRUE,TRUE,FALSE)</f>
        <v>1</v>
      </c>
      <c r="G330" s="33" t="b">
        <f t="shared" si="176"/>
        <v>0</v>
      </c>
      <c r="H330" s="34" t="str">
        <f>IF(G330=TRUE,H326,"")</f>
        <v/>
      </c>
      <c r="I330" s="34"/>
      <c r="J330" s="14"/>
    </row>
    <row r="331" hidden="1">
      <c r="A331" s="35" t="str">
        <f>HYPERLINK("https://github.com/pytorch/pytorch/blob/f99ab991dcd3719ee25dd3377a53ea12e518308e/test/test_testing.py#L599", "TestAssertClose")</f>
        <v>TestAssertClose</v>
      </c>
      <c r="B331" s="25" t="s">
        <v>712</v>
      </c>
      <c r="C331" s="25" t="s">
        <v>718</v>
      </c>
      <c r="D331" s="25" t="s">
        <v>719</v>
      </c>
      <c r="E331" s="36" t="s">
        <v>720</v>
      </c>
      <c r="F331" s="37" t="b">
        <f t="shared" ref="F331:G331" si="177">IF(F326=TRUE,TRUE,FALSE)</f>
        <v>1</v>
      </c>
      <c r="G331" s="37" t="b">
        <f t="shared" si="177"/>
        <v>0</v>
      </c>
      <c r="H331" s="34" t="str">
        <f>IF(G331=TRUE,H326,"")</f>
        <v/>
      </c>
      <c r="I331" s="34"/>
      <c r="J331" s="14"/>
    </row>
    <row r="332">
      <c r="A332" s="21" t="str">
        <f>HYPERLINK("https://github.com/pytorch/pytorch/blob/f99ab991dcd3719ee25dd3377a53ea12e518308e/test/test_testing.py#L887", "TestAssertCloseMultiDevice")</f>
        <v>TestAssertCloseMultiDevice</v>
      </c>
      <c r="B332" s="22" t="s">
        <v>712</v>
      </c>
      <c r="C332" s="22" t="s">
        <v>721</v>
      </c>
      <c r="D332" s="22" t="s">
        <v>315</v>
      </c>
      <c r="E332" s="23" t="s">
        <v>722</v>
      </c>
      <c r="F332" s="24" t="b">
        <f>IF(F326=TRUE,TRUE,FALSE)</f>
        <v>1</v>
      </c>
      <c r="G332" s="24" t="b">
        <v>1</v>
      </c>
      <c r="H332" s="26" t="s">
        <v>114</v>
      </c>
      <c r="I332" s="26" t="s">
        <v>17</v>
      </c>
      <c r="J332" s="27" t="s">
        <v>715</v>
      </c>
    </row>
    <row r="333" hidden="1">
      <c r="A333" s="35" t="str">
        <f>HYPERLINK("https://github.com/pytorch/pytorch/blob/f99ab991dcd3719ee25dd3377a53ea12e518308e/test/test_testing.py#L909", "TestAssertCloseErrorMessage")</f>
        <v>TestAssertCloseErrorMessage</v>
      </c>
      <c r="B333" s="25" t="s">
        <v>712</v>
      </c>
      <c r="C333" s="25" t="s">
        <v>723</v>
      </c>
      <c r="D333" s="25" t="s">
        <v>64</v>
      </c>
      <c r="E333" s="36" t="s">
        <v>661</v>
      </c>
      <c r="F333" s="37" t="b">
        <f t="shared" ref="F333:G333" si="178">IF(F326=TRUE,TRUE,FALSE)</f>
        <v>1</v>
      </c>
      <c r="G333" s="37" t="b">
        <f t="shared" si="178"/>
        <v>0</v>
      </c>
      <c r="H333" s="34" t="str">
        <f>IF(G333=TRUE,H326,"")</f>
        <v/>
      </c>
      <c r="I333" s="34"/>
      <c r="J333" s="14"/>
    </row>
    <row r="334" hidden="1">
      <c r="A334" s="29" t="str">
        <f>HYPERLINK("https://github.com/pytorch/pytorch/blob/f99ab991dcd3719ee25dd3377a53ea12e518308e/test/test_testing.py#L1070", "TestAssertCloseContainer")</f>
        <v>TestAssertCloseContainer</v>
      </c>
      <c r="B334" s="30" t="s">
        <v>712</v>
      </c>
      <c r="C334" s="30" t="s">
        <v>724</v>
      </c>
      <c r="D334" s="30" t="s">
        <v>64</v>
      </c>
      <c r="E334" s="31" t="s">
        <v>661</v>
      </c>
      <c r="F334" s="33" t="b">
        <f t="shared" ref="F334:G334" si="179">IF(F326=TRUE,TRUE,FALSE)</f>
        <v>1</v>
      </c>
      <c r="G334" s="33" t="b">
        <f t="shared" si="179"/>
        <v>0</v>
      </c>
      <c r="H334" s="34" t="str">
        <f>IF(G334=TRUE,H326,"")</f>
        <v/>
      </c>
      <c r="I334" s="34"/>
      <c r="J334" s="14"/>
    </row>
    <row r="335" hidden="1">
      <c r="A335" s="35" t="str">
        <f>HYPERLINK("https://github.com/pytorch/pytorch/blob/f99ab991dcd3719ee25dd3377a53ea12e518308e/test/test_testing.py#L1106", "TestAssertCloseSparseCOO")</f>
        <v>TestAssertCloseSparseCOO</v>
      </c>
      <c r="B335" s="25" t="s">
        <v>712</v>
      </c>
      <c r="C335" s="25" t="s">
        <v>725</v>
      </c>
      <c r="D335" s="25" t="s">
        <v>64</v>
      </c>
      <c r="E335" s="36" t="s">
        <v>726</v>
      </c>
      <c r="F335" s="37" t="b">
        <f t="shared" ref="F335:G335" si="180">IF(F326=TRUE,TRUE,FALSE)</f>
        <v>1</v>
      </c>
      <c r="G335" s="37" t="b">
        <f t="shared" si="180"/>
        <v>0</v>
      </c>
      <c r="H335" s="34" t="str">
        <f>IF(G335=TRUE,H326,"")</f>
        <v/>
      </c>
      <c r="I335" s="34"/>
      <c r="J335" s="14"/>
    </row>
    <row r="336" hidden="1">
      <c r="A336" s="29" t="str">
        <f>HYPERLINK("https://github.com/pytorch/pytorch/blob/f99ab991dcd3719ee25dd3377a53ea12e518308e/test/test_testing.py#L1199", "TestAssertCloseSparseCSR")</f>
        <v>TestAssertCloseSparseCSR</v>
      </c>
      <c r="B336" s="30" t="s">
        <v>712</v>
      </c>
      <c r="C336" s="30" t="s">
        <v>727</v>
      </c>
      <c r="D336" s="30" t="s">
        <v>64</v>
      </c>
      <c r="E336" s="31" t="s">
        <v>726</v>
      </c>
      <c r="F336" s="33" t="b">
        <f t="shared" ref="F336:G336" si="181">IF(F326=TRUE,TRUE,FALSE)</f>
        <v>1</v>
      </c>
      <c r="G336" s="33" t="b">
        <f t="shared" si="181"/>
        <v>0</v>
      </c>
      <c r="H336" s="34" t="str">
        <f>IF(G336=TRUE,H326,"")</f>
        <v/>
      </c>
      <c r="I336" s="34"/>
      <c r="J336" s="14"/>
    </row>
    <row r="337" hidden="1">
      <c r="A337" s="35" t="str">
        <f>HYPERLINK("https://github.com/pytorch/pytorch/blob/f99ab991dcd3719ee25dd3377a53ea12e518308e/test/test_testing.py#L1257", "TestAssertCloseSparseCSC")</f>
        <v>TestAssertCloseSparseCSC</v>
      </c>
      <c r="B337" s="25" t="s">
        <v>712</v>
      </c>
      <c r="C337" s="25" t="s">
        <v>728</v>
      </c>
      <c r="D337" s="25" t="s">
        <v>64</v>
      </c>
      <c r="E337" s="36" t="s">
        <v>726</v>
      </c>
      <c r="F337" s="37" t="b">
        <f t="shared" ref="F337:G337" si="182">IF(F326=TRUE,TRUE,FALSE)</f>
        <v>1</v>
      </c>
      <c r="G337" s="37" t="b">
        <f t="shared" si="182"/>
        <v>0</v>
      </c>
      <c r="H337" s="34" t="str">
        <f>IF(G337=TRUE,H326,"")</f>
        <v/>
      </c>
      <c r="I337" s="34"/>
      <c r="J337" s="14"/>
    </row>
    <row r="338" hidden="1">
      <c r="A338" s="29" t="str">
        <f>HYPERLINK("https://github.com/pytorch/pytorch/blob/f99ab991dcd3719ee25dd3377a53ea12e518308e/test/test_testing.py#L1315", "TestAssertCloseSparseBSR")</f>
        <v>TestAssertCloseSparseBSR</v>
      </c>
      <c r="B338" s="30" t="s">
        <v>712</v>
      </c>
      <c r="C338" s="30" t="s">
        <v>729</v>
      </c>
      <c r="D338" s="30" t="s">
        <v>64</v>
      </c>
      <c r="E338" s="31" t="s">
        <v>726</v>
      </c>
      <c r="F338" s="33" t="b">
        <f t="shared" ref="F338:G338" si="183">IF(F326=TRUE,TRUE,FALSE)</f>
        <v>1</v>
      </c>
      <c r="G338" s="33" t="b">
        <f t="shared" si="183"/>
        <v>0</v>
      </c>
      <c r="H338" s="34" t="str">
        <f>IF(G338=TRUE,H326,"")</f>
        <v/>
      </c>
      <c r="I338" s="34"/>
      <c r="J338" s="14"/>
    </row>
    <row r="339" hidden="1">
      <c r="A339" s="35" t="str">
        <f>HYPERLINK("https://github.com/pytorch/pytorch/blob/f99ab991dcd3719ee25dd3377a53ea12e518308e/test/test_testing.py#L1373", "TestAssertCloseSparseBSC")</f>
        <v>TestAssertCloseSparseBSC</v>
      </c>
      <c r="B339" s="25" t="s">
        <v>712</v>
      </c>
      <c r="C339" s="25" t="s">
        <v>730</v>
      </c>
      <c r="D339" s="25" t="s">
        <v>64</v>
      </c>
      <c r="E339" s="36" t="s">
        <v>726</v>
      </c>
      <c r="F339" s="37" t="b">
        <f t="shared" ref="F339:G339" si="184">IF(F326=TRUE,TRUE,FALSE)</f>
        <v>1</v>
      </c>
      <c r="G339" s="37" t="b">
        <f t="shared" si="184"/>
        <v>0</v>
      </c>
      <c r="H339" s="34" t="str">
        <f>IF(G339=TRUE,H326,"")</f>
        <v/>
      </c>
      <c r="I339" s="34"/>
      <c r="J339" s="14"/>
    </row>
    <row r="340" hidden="1">
      <c r="A340" s="29" t="str">
        <f>HYPERLINK("https://github.com/pytorch/pytorch/blob/f99ab991dcd3719ee25dd3377a53ea12e518308e/test/test_testing.py#L1430", "TestAssertCloseQuantized")</f>
        <v>TestAssertCloseQuantized</v>
      </c>
      <c r="B340" s="30" t="s">
        <v>712</v>
      </c>
      <c r="C340" s="30" t="s">
        <v>731</v>
      </c>
      <c r="D340" s="30" t="s">
        <v>64</v>
      </c>
      <c r="E340" s="31" t="s">
        <v>732</v>
      </c>
      <c r="F340" s="33" t="b">
        <f t="shared" ref="F340:G340" si="185">IF(F326=TRUE,TRUE,FALSE)</f>
        <v>1</v>
      </c>
      <c r="G340" s="33" t="b">
        <f t="shared" si="185"/>
        <v>0</v>
      </c>
      <c r="H340" s="34" t="str">
        <f>IF(G340=TRUE,H326,"")</f>
        <v/>
      </c>
      <c r="I340" s="34"/>
      <c r="J340" s="14"/>
    </row>
    <row r="341" hidden="1">
      <c r="A341" s="35" t="str">
        <f>HYPERLINK("https://github.com/pytorch/pytorch/blob/f99ab991dcd3719ee25dd3377a53ea12e518308e/test/test_testing.py#L1475", "TestMakeTensor")</f>
        <v>TestMakeTensor</v>
      </c>
      <c r="B341" s="25" t="s">
        <v>712</v>
      </c>
      <c r="C341" s="25" t="s">
        <v>733</v>
      </c>
      <c r="D341" s="25" t="s">
        <v>15</v>
      </c>
      <c r="E341" s="36" t="s">
        <v>734</v>
      </c>
      <c r="F341" s="37" t="b">
        <f t="shared" ref="F341:G341" si="186">IF(F326=TRUE,TRUE,FALSE)</f>
        <v>1</v>
      </c>
      <c r="G341" s="37" t="b">
        <f t="shared" si="186"/>
        <v>0</v>
      </c>
      <c r="H341" s="34" t="str">
        <f>IF(G341=TRUE,H326,"")</f>
        <v/>
      </c>
      <c r="I341" s="34"/>
      <c r="J341" s="14"/>
    </row>
    <row r="342" hidden="1">
      <c r="A342" s="29" t="str">
        <f>HYPERLINK("https://github.com/pytorch/pytorch/blob/f99ab991dcd3719ee25dd3377a53ea12e518308e/test/test_testing.py#L1676", "TestTestParametrization")</f>
        <v>TestTestParametrization</v>
      </c>
      <c r="B342" s="30" t="s">
        <v>712</v>
      </c>
      <c r="C342" s="30" t="s">
        <v>735</v>
      </c>
      <c r="D342" s="30" t="s">
        <v>64</v>
      </c>
      <c r="E342" s="31" t="s">
        <v>736</v>
      </c>
      <c r="F342" s="33" t="b">
        <f t="shared" ref="F342:G342" si="187">IF(F326=TRUE,TRUE,FALSE)</f>
        <v>1</v>
      </c>
      <c r="G342" s="33" t="b">
        <f t="shared" si="187"/>
        <v>0</v>
      </c>
      <c r="H342" s="34" t="str">
        <f>IF(G342=TRUE,H326,"")</f>
        <v/>
      </c>
      <c r="I342" s="34"/>
      <c r="J342" s="14"/>
    </row>
    <row r="343" hidden="1">
      <c r="A343" s="35" t="str">
        <f>HYPERLINK("https://github.com/pytorch/pytorch/blob/f99ab991dcd3719ee25dd3377a53ea12e518308e/test/test_testing.py#L1894", "TestTestParametrizationDeviceType")</f>
        <v>TestTestParametrizationDeviceType</v>
      </c>
      <c r="B343" s="25" t="s">
        <v>712</v>
      </c>
      <c r="C343" s="25" t="s">
        <v>737</v>
      </c>
      <c r="D343" s="25" t="s">
        <v>15</v>
      </c>
      <c r="E343" s="36" t="s">
        <v>734</v>
      </c>
      <c r="F343" s="37" t="b">
        <f t="shared" ref="F343:G343" si="188">IF(F326=TRUE,TRUE,FALSE)</f>
        <v>1</v>
      </c>
      <c r="G343" s="37" t="b">
        <f t="shared" si="188"/>
        <v>0</v>
      </c>
      <c r="H343" s="34" t="str">
        <f>IF(G343=TRUE,H326,"")</f>
        <v/>
      </c>
      <c r="I343" s="34"/>
      <c r="J343" s="14"/>
    </row>
    <row r="344" hidden="1">
      <c r="A344" s="29" t="str">
        <f>HYPERLINK("https://github.com/pytorch/pytorch/blob/f99ab991dcd3719ee25dd3377a53ea12e518308e/test/test_testing.py#L2357", "TestImports")</f>
        <v>TestImports</v>
      </c>
      <c r="B344" s="30" t="s">
        <v>712</v>
      </c>
      <c r="C344" s="30" t="s">
        <v>738</v>
      </c>
      <c r="D344" s="30" t="s">
        <v>64</v>
      </c>
      <c r="E344" s="31" t="s">
        <v>739</v>
      </c>
      <c r="F344" s="33" t="b">
        <f t="shared" ref="F344:G344" si="189">IF(F326=TRUE,TRUE,FALSE)</f>
        <v>1</v>
      </c>
      <c r="G344" s="33" t="b">
        <f t="shared" si="189"/>
        <v>0</v>
      </c>
      <c r="H344" s="34" t="str">
        <f>IF(G344=TRUE,H326,"")</f>
        <v/>
      </c>
      <c r="I344" s="34"/>
      <c r="J344" s="14"/>
    </row>
    <row r="345" hidden="1">
      <c r="A345" s="35" t="str">
        <f>HYPERLINK("https://github.com/pytorch/pytorch/blob/f99ab991dcd3719ee25dd3377a53ea12e518308e/test/test_testing.py#L2459", "TestOpInfos")</f>
        <v>TestOpInfos</v>
      </c>
      <c r="B345" s="25" t="s">
        <v>712</v>
      </c>
      <c r="C345" s="25" t="s">
        <v>740</v>
      </c>
      <c r="D345" s="25" t="s">
        <v>64</v>
      </c>
      <c r="E345" s="36" t="s">
        <v>741</v>
      </c>
      <c r="F345" s="37" t="b">
        <f t="shared" ref="F345:G345" si="190">IF(F326=TRUE,TRUE,FALSE)</f>
        <v>1</v>
      </c>
      <c r="G345" s="37" t="b">
        <f t="shared" si="190"/>
        <v>0</v>
      </c>
      <c r="H345" s="34" t="str">
        <f>IF(G345=TRUE,H326,"")</f>
        <v/>
      </c>
      <c r="I345" s="34"/>
      <c r="J345" s="14"/>
    </row>
    <row r="346" hidden="1">
      <c r="A346" s="29" t="str">
        <f>HYPERLINK("https://github.com/pytorch/pytorch/blob/f99ab991dcd3719ee25dd3377a53ea12e518308e/test/test_testing.py#L2531", "TestOpInfoSampleFunctions")</f>
        <v>TestOpInfoSampleFunctions</v>
      </c>
      <c r="B346" s="30" t="s">
        <v>712</v>
      </c>
      <c r="C346" s="30" t="s">
        <v>742</v>
      </c>
      <c r="D346" s="30" t="s">
        <v>15</v>
      </c>
      <c r="E346" s="31" t="s">
        <v>743</v>
      </c>
      <c r="F346" s="33" t="b">
        <f t="shared" ref="F346:G346" si="191">IF(F326=TRUE,TRUE,FALSE)</f>
        <v>1</v>
      </c>
      <c r="G346" s="33" t="b">
        <f t="shared" si="191"/>
        <v>0</v>
      </c>
      <c r="H346" s="34" t="str">
        <f>IF(G346=TRUE,H326,"")</f>
        <v/>
      </c>
      <c r="I346" s="34"/>
      <c r="J346" s="14"/>
    </row>
    <row r="347" hidden="1">
      <c r="A347" s="15" t="s">
        <v>744</v>
      </c>
      <c r="B347" s="16"/>
      <c r="C347" s="16"/>
      <c r="D347" s="16"/>
      <c r="E347" s="17"/>
      <c r="F347" s="18" t="b">
        <v>1</v>
      </c>
      <c r="G347" s="18" t="b">
        <v>0</v>
      </c>
      <c r="H347" s="20"/>
      <c r="I347" s="20"/>
      <c r="J347" s="14"/>
    </row>
    <row r="348" hidden="1">
      <c r="A348" s="35" t="str">
        <f>HYPERLINK("https://github.com/pytorch/pytorch/blob/f99ab991dcd3719ee25dd3377a53ea12e518308e/test/benchmark_utils/test_benchmark_utils.py#L146", "TestBenchmarkUtils")</f>
        <v>TestBenchmarkUtils</v>
      </c>
      <c r="B348" s="25" t="s">
        <v>745</v>
      </c>
      <c r="C348" s="25" t="s">
        <v>746</v>
      </c>
      <c r="D348" s="25" t="s">
        <v>64</v>
      </c>
      <c r="E348" s="36" t="s">
        <v>747</v>
      </c>
      <c r="F348" s="37" t="b">
        <f t="shared" ref="F348:G348" si="192">IF(F347=TRUE,TRUE,FALSE)</f>
        <v>1</v>
      </c>
      <c r="G348" s="37" t="b">
        <f t="shared" si="192"/>
        <v>0</v>
      </c>
      <c r="H348" s="34" t="str">
        <f>IF(G348=TRUE,H347,"")</f>
        <v/>
      </c>
      <c r="I348" s="34"/>
      <c r="J348" s="14"/>
    </row>
    <row r="349" hidden="1">
      <c r="A349" s="46" t="str">
        <f>HYPERLINK("https://github.com/pytorch/pytorch/blob/f99ab991dcd3719ee25dd3377a53ea12e518308e/test/test_flop_counter.py#L51", "TestFlopCounter")</f>
        <v>TestFlopCounter</v>
      </c>
      <c r="B349" s="47" t="s">
        <v>748</v>
      </c>
      <c r="C349" s="47" t="s">
        <v>749</v>
      </c>
      <c r="D349" s="47" t="s">
        <v>112</v>
      </c>
      <c r="E349" s="39" t="s">
        <v>750</v>
      </c>
      <c r="F349" s="48" t="b">
        <f>IF(F347=TRUE,TRUE,FALSE)</f>
        <v>1</v>
      </c>
      <c r="G349" s="48" t="b">
        <v>0</v>
      </c>
      <c r="H349" s="47" t="str">
        <f>IF(G349=TRUE,H347,"")</f>
        <v/>
      </c>
      <c r="I349" s="47"/>
      <c r="J349" s="14" t="s">
        <v>751</v>
      </c>
    </row>
    <row r="350" hidden="1">
      <c r="A350" s="35" t="str">
        <f>HYPERLINK("https://github.com/pytorch/pytorch/blob/f99ab991dcd3719ee25dd3377a53ea12e518308e/test/test_logging.py#L7", "LoggingTest")</f>
        <v>LoggingTest</v>
      </c>
      <c r="B350" s="25" t="s">
        <v>752</v>
      </c>
      <c r="C350" s="25" t="s">
        <v>753</v>
      </c>
      <c r="D350" s="25" t="s">
        <v>64</v>
      </c>
      <c r="E350" s="36" t="s">
        <v>754</v>
      </c>
      <c r="F350" s="37" t="b">
        <f t="shared" ref="F350:G350" si="193">IF(F347=TRUE,TRUE,FALSE)</f>
        <v>1</v>
      </c>
      <c r="G350" s="37" t="b">
        <f t="shared" si="193"/>
        <v>0</v>
      </c>
      <c r="H350" s="34" t="str">
        <f>IF(G350=TRUE,H347,"")</f>
        <v/>
      </c>
      <c r="I350" s="34"/>
      <c r="J350" s="14"/>
    </row>
    <row r="351" hidden="1">
      <c r="A351" s="29" t="str">
        <f>HYPERLINK("https://github.com/pytorch/pytorch/blob/f99ab991dcd3719ee25dd3377a53ea12e518308e/test/test_module_tracker.py#L17", "TestModuleTracker")</f>
        <v>TestModuleTracker</v>
      </c>
      <c r="B351" s="30" t="s">
        <v>755</v>
      </c>
      <c r="C351" s="30" t="s">
        <v>756</v>
      </c>
      <c r="D351" s="30" t="s">
        <v>64</v>
      </c>
      <c r="E351" s="31" t="s">
        <v>661</v>
      </c>
      <c r="F351" s="33" t="b">
        <f t="shared" ref="F351:G351" si="194">IF(F347=TRUE,TRUE,FALSE)</f>
        <v>1</v>
      </c>
      <c r="G351" s="33" t="b">
        <f t="shared" si="194"/>
        <v>0</v>
      </c>
      <c r="H351" s="34" t="str">
        <f>IF(G351=TRUE,H347,"")</f>
        <v/>
      </c>
      <c r="I351" s="34"/>
      <c r="J351" s="14"/>
    </row>
    <row r="352" hidden="1">
      <c r="A352" s="35" t="str">
        <f>HYPERLINK("https://github.com/pytorch/pytorch/blob/f99ab991dcd3719ee25dd3377a53ea12e518308e/test/test_monitor.py#L23", "TestMonitor")</f>
        <v>TestMonitor</v>
      </c>
      <c r="B352" s="25" t="s">
        <v>757</v>
      </c>
      <c r="C352" s="25" t="s">
        <v>758</v>
      </c>
      <c r="D352" s="25" t="s">
        <v>64</v>
      </c>
      <c r="E352" s="36" t="s">
        <v>759</v>
      </c>
      <c r="F352" s="37" t="b">
        <f t="shared" ref="F352:G352" si="195">IF(F347=TRUE,TRUE,FALSE)</f>
        <v>1</v>
      </c>
      <c r="G352" s="37" t="b">
        <f t="shared" si="195"/>
        <v>0</v>
      </c>
      <c r="H352" s="34" t="str">
        <f>IF(G352=TRUE,H347,"")</f>
        <v/>
      </c>
      <c r="I352" s="34"/>
      <c r="J352" s="14"/>
    </row>
    <row r="353" hidden="1">
      <c r="A353" s="29" t="str">
        <f>HYPERLINK("https://github.com/pytorch/pytorch/blob/f99ab991dcd3719ee25dd3377a53ea12e518308e/test/test_monitor.py#L112", "TestMonitorTensorboard")</f>
        <v>TestMonitorTensorboard</v>
      </c>
      <c r="B353" s="30" t="s">
        <v>757</v>
      </c>
      <c r="C353" s="30" t="s">
        <v>760</v>
      </c>
      <c r="D353" s="30" t="s">
        <v>64</v>
      </c>
      <c r="E353" s="31" t="s">
        <v>761</v>
      </c>
      <c r="F353" s="33" t="b">
        <f t="shared" ref="F353:G353" si="196">IF(F347=TRUE,TRUE,FALSE)</f>
        <v>1</v>
      </c>
      <c r="G353" s="33" t="b">
        <f t="shared" si="196"/>
        <v>0</v>
      </c>
      <c r="H353" s="34" t="str">
        <f>IF(G353=TRUE,H347,"")</f>
        <v/>
      </c>
      <c r="I353" s="34"/>
      <c r="J353" s="14"/>
    </row>
    <row r="354" hidden="1">
      <c r="A354" s="35" t="str">
        <f>HYPERLINK("https://github.com/pytorch/pytorch/blob/f99ab991dcd3719ee25dd3377a53ea12e518308e/test/test_pytree.py#L77", "TestGenericPytree")</f>
        <v>TestGenericPytree</v>
      </c>
      <c r="B354" s="25" t="s">
        <v>762</v>
      </c>
      <c r="C354" s="25" t="s">
        <v>763</v>
      </c>
      <c r="D354" s="25" t="s">
        <v>64</v>
      </c>
      <c r="E354" s="36" t="s">
        <v>764</v>
      </c>
      <c r="F354" s="37" t="b">
        <f t="shared" ref="F354:G354" si="197">IF(F347=TRUE,TRUE,FALSE)</f>
        <v>1</v>
      </c>
      <c r="G354" s="37" t="b">
        <f t="shared" si="197"/>
        <v>0</v>
      </c>
      <c r="H354" s="34" t="str">
        <f>IF(G354=TRUE,H347,"")</f>
        <v/>
      </c>
      <c r="I354" s="34"/>
      <c r="J354" s="14"/>
    </row>
    <row r="355" hidden="1">
      <c r="A355" s="29" t="str">
        <f>HYPERLINK("https://github.com/pytorch/pytorch/blob/f99ab991dcd3719ee25dd3377a53ea12e518308e/test/test_pytree.py#L821", "TestPythonPytree")</f>
        <v>TestPythonPytree</v>
      </c>
      <c r="B355" s="30" t="s">
        <v>762</v>
      </c>
      <c r="C355" s="30" t="s">
        <v>765</v>
      </c>
      <c r="D355" s="30" t="s">
        <v>64</v>
      </c>
      <c r="E355" s="31" t="s">
        <v>766</v>
      </c>
      <c r="F355" s="33" t="b">
        <f t="shared" ref="F355:G355" si="198">IF(F347=TRUE,TRUE,FALSE)</f>
        <v>1</v>
      </c>
      <c r="G355" s="33" t="b">
        <f t="shared" si="198"/>
        <v>0</v>
      </c>
      <c r="H355" s="34" t="str">
        <f>IF(G355=TRUE,H347,"")</f>
        <v/>
      </c>
      <c r="I355" s="34"/>
      <c r="J355" s="14"/>
    </row>
    <row r="356" hidden="1">
      <c r="A356" s="35" t="str">
        <f>HYPERLINK("https://github.com/pytorch/pytorch/blob/f99ab991dcd3719ee25dd3377a53ea12e518308e/test/test_pytree.py#L1500", "TestCxxPytree")</f>
        <v>TestCxxPytree</v>
      </c>
      <c r="B356" s="25" t="s">
        <v>762</v>
      </c>
      <c r="C356" s="25" t="s">
        <v>767</v>
      </c>
      <c r="D356" s="25" t="s">
        <v>64</v>
      </c>
      <c r="E356" s="36" t="s">
        <v>768</v>
      </c>
      <c r="F356" s="37" t="b">
        <f t="shared" ref="F356:G356" si="199">IF(F347=TRUE,TRUE,FALSE)</f>
        <v>1</v>
      </c>
      <c r="G356" s="37" t="b">
        <f t="shared" si="199"/>
        <v>0</v>
      </c>
      <c r="H356" s="34" t="str">
        <f>IF(G356=TRUE,H347,"")</f>
        <v/>
      </c>
      <c r="I356" s="34"/>
      <c r="J356" s="14"/>
    </row>
    <row r="357" hidden="1">
      <c r="A357" s="29" t="str">
        <f>HYPERLINK("https://github.com/pytorch/pytorch/blob/f99ab991dcd3719ee25dd3377a53ea12e518308e/test/test_throughput_benchmark.py#L37", "TestThroughputBenchmark")</f>
        <v>TestThroughputBenchmark</v>
      </c>
      <c r="B357" s="30" t="s">
        <v>769</v>
      </c>
      <c r="C357" s="30" t="s">
        <v>770</v>
      </c>
      <c r="D357" s="30" t="s">
        <v>64</v>
      </c>
      <c r="E357" s="31" t="s">
        <v>771</v>
      </c>
      <c r="F357" s="33" t="b">
        <f t="shared" ref="F357:G357" si="200">IF(F347=TRUE,TRUE,FALSE)</f>
        <v>1</v>
      </c>
      <c r="G357" s="33" t="b">
        <f t="shared" si="200"/>
        <v>0</v>
      </c>
      <c r="H357" s="34" t="str">
        <f>IF(G357=TRUE,H347,"")</f>
        <v/>
      </c>
      <c r="I357" s="34"/>
      <c r="J357" s="14"/>
    </row>
    <row r="358">
      <c r="A358" s="21" t="str">
        <f>HYPERLINK("https://github.com/pytorch/pytorch/blob/f99ab991dcd3719ee25dd3377a53ea12e518308e/test/test_utils.py#L76", "TestCheckpoint")</f>
        <v>TestCheckpoint</v>
      </c>
      <c r="B358" s="22" t="s">
        <v>772</v>
      </c>
      <c r="C358" s="22" t="s">
        <v>773</v>
      </c>
      <c r="D358" s="22" t="s">
        <v>112</v>
      </c>
      <c r="E358" s="23" t="s">
        <v>774</v>
      </c>
      <c r="F358" s="24" t="b">
        <f>IF(F347=TRUE,TRUE,FALSE)</f>
        <v>1</v>
      </c>
      <c r="G358" s="24" t="b">
        <v>1</v>
      </c>
      <c r="H358" s="26" t="s">
        <v>114</v>
      </c>
      <c r="I358" s="26" t="s">
        <v>17</v>
      </c>
      <c r="J358" s="27" t="s">
        <v>775</v>
      </c>
    </row>
    <row r="359" hidden="1">
      <c r="A359" s="29" t="str">
        <f>HYPERLINK("https://github.com/pytorch/pytorch/blob/f99ab991dcd3719ee25dd3377a53ea12e518308e/test/test_utils.py#L594", "TestDataLoaderUtils")</f>
        <v>TestDataLoaderUtils</v>
      </c>
      <c r="B359" s="30" t="s">
        <v>772</v>
      </c>
      <c r="C359" s="30" t="s">
        <v>776</v>
      </c>
      <c r="D359" s="30" t="s">
        <v>64</v>
      </c>
      <c r="E359" s="31" t="s">
        <v>777</v>
      </c>
      <c r="F359" s="33" t="b">
        <f t="shared" ref="F359:G359" si="201">IF(F347=TRUE,TRUE,FALSE)</f>
        <v>1</v>
      </c>
      <c r="G359" s="33" t="b">
        <f t="shared" si="201"/>
        <v>0</v>
      </c>
      <c r="H359" s="34" t="str">
        <f>IF(G359=TRUE,H347,"")</f>
        <v/>
      </c>
      <c r="I359" s="34"/>
      <c r="J359" s="14"/>
    </row>
    <row r="360" hidden="1">
      <c r="A360" s="35" t="str">
        <f>HYPERLINK("https://github.com/pytorch/pytorch/blob/f99ab991dcd3719ee25dd3377a53ea12e518308e/test/test_utils.py#L670", "TestCollectEnv")</f>
        <v>TestCollectEnv</v>
      </c>
      <c r="B360" s="25" t="s">
        <v>772</v>
      </c>
      <c r="C360" s="25" t="s">
        <v>778</v>
      </c>
      <c r="D360" s="25" t="s">
        <v>64</v>
      </c>
      <c r="E360" s="36" t="s">
        <v>779</v>
      </c>
      <c r="F360" s="37" t="b">
        <f t="shared" ref="F360:G360" si="202">IF(F347=TRUE,TRUE,FALSE)</f>
        <v>1</v>
      </c>
      <c r="G360" s="37" t="b">
        <f t="shared" si="202"/>
        <v>0</v>
      </c>
      <c r="H360" s="34" t="str">
        <f>IF(G360=TRUE,H347,"")</f>
        <v/>
      </c>
      <c r="I360" s="34"/>
      <c r="J360" s="14"/>
    </row>
    <row r="361" hidden="1">
      <c r="A361" s="29" t="str">
        <f>HYPERLINK("https://github.com/pytorch/pytorch/blob/f99ab991dcd3719ee25dd3377a53ea12e518308e/test/test_utils.py#L676", "TestHipify")</f>
        <v>TestHipify</v>
      </c>
      <c r="B361" s="30" t="s">
        <v>772</v>
      </c>
      <c r="C361" s="30" t="s">
        <v>780</v>
      </c>
      <c r="D361" s="30" t="s">
        <v>64</v>
      </c>
      <c r="E361" s="31" t="s">
        <v>781</v>
      </c>
      <c r="F361" s="33" t="b">
        <f t="shared" ref="F361:G361" si="203">IF(F347=TRUE,TRUE,FALSE)</f>
        <v>1</v>
      </c>
      <c r="G361" s="33" t="b">
        <f t="shared" si="203"/>
        <v>0</v>
      </c>
      <c r="H361" s="34" t="str">
        <f>IF(G361=TRUE,H347,"")</f>
        <v/>
      </c>
      <c r="I361" s="34"/>
      <c r="J361" s="14"/>
    </row>
    <row r="362" hidden="1">
      <c r="A362" s="35" t="str">
        <f>HYPERLINK("https://github.com/pytorch/pytorch/blob/f99ab991dcd3719ee25dd3377a53ea12e518308e/test/test_utils.py#L681", "TestHipifyTrie")</f>
        <v>TestHipifyTrie</v>
      </c>
      <c r="B362" s="25" t="s">
        <v>772</v>
      </c>
      <c r="C362" s="25" t="s">
        <v>782</v>
      </c>
      <c r="D362" s="25" t="s">
        <v>64</v>
      </c>
      <c r="E362" s="36" t="s">
        <v>783</v>
      </c>
      <c r="F362" s="37" t="b">
        <f t="shared" ref="F362:G362" si="204">IF(F347=TRUE,TRUE,FALSE)</f>
        <v>1</v>
      </c>
      <c r="G362" s="37" t="b">
        <f t="shared" si="204"/>
        <v>0</v>
      </c>
      <c r="H362" s="34" t="str">
        <f>IF(G362=TRUE,H347,"")</f>
        <v/>
      </c>
      <c r="I362" s="34"/>
      <c r="J362" s="14"/>
    </row>
    <row r="363" hidden="1">
      <c r="A363" s="29" t="str">
        <f>HYPERLINK("https://github.com/pytorch/pytorch/blob/f99ab991dcd3719ee25dd3377a53ea12e518308e/test/test_utils.py#L753", "TestAssert")</f>
        <v>TestAssert</v>
      </c>
      <c r="B363" s="30" t="s">
        <v>772</v>
      </c>
      <c r="C363" s="30" t="s">
        <v>784</v>
      </c>
      <c r="D363" s="30" t="s">
        <v>64</v>
      </c>
      <c r="E363" s="31" t="s">
        <v>785</v>
      </c>
      <c r="F363" s="33" t="b">
        <f t="shared" ref="F363:G363" si="205">IF(F347=TRUE,TRUE,FALSE)</f>
        <v>1</v>
      </c>
      <c r="G363" s="33" t="b">
        <f t="shared" si="205"/>
        <v>0</v>
      </c>
      <c r="H363" s="34" t="str">
        <f>IF(G363=TRUE,H347,"")</f>
        <v/>
      </c>
      <c r="I363" s="34"/>
      <c r="J363" s="14"/>
    </row>
    <row r="364" hidden="1">
      <c r="A364" s="35" t="str">
        <f>HYPERLINK("https://github.com/pytorch/pytorch/blob/f99ab991dcd3719ee25dd3377a53ea12e518308e/test/test_utils.py#L782", "TestStandaloneCPPJIT")</f>
        <v>TestStandaloneCPPJIT</v>
      </c>
      <c r="B364" s="25" t="s">
        <v>772</v>
      </c>
      <c r="C364" s="25" t="s">
        <v>786</v>
      </c>
      <c r="D364" s="25" t="s">
        <v>64</v>
      </c>
      <c r="E364" s="36" t="s">
        <v>787</v>
      </c>
      <c r="F364" s="37" t="b">
        <f t="shared" ref="F364:G364" si="206">IF(F347=TRUE,TRUE,FALSE)</f>
        <v>1</v>
      </c>
      <c r="G364" s="37" t="b">
        <f t="shared" si="206"/>
        <v>0</v>
      </c>
      <c r="H364" s="34" t="str">
        <f>IF(G364=TRUE,H347,"")</f>
        <v/>
      </c>
      <c r="I364" s="34"/>
      <c r="J364" s="14"/>
    </row>
    <row r="365" hidden="1">
      <c r="A365" s="29" t="str">
        <f>HYPERLINK("https://github.com/pytorch/pytorch/blob/f99ab991dcd3719ee25dd3377a53ea12e518308e/test/test_utils.py#L837", "TestRenderUtils")</f>
        <v>TestRenderUtils</v>
      </c>
      <c r="B365" s="30" t="s">
        <v>772</v>
      </c>
      <c r="C365" s="30" t="s">
        <v>788</v>
      </c>
      <c r="D365" s="30" t="s">
        <v>64</v>
      </c>
      <c r="E365" s="31" t="s">
        <v>789</v>
      </c>
      <c r="F365" s="33" t="b">
        <f t="shared" ref="F365:G365" si="207">IF(F347=TRUE,TRUE,FALSE)</f>
        <v>1</v>
      </c>
      <c r="G365" s="33" t="b">
        <f t="shared" si="207"/>
        <v>0</v>
      </c>
      <c r="H365" s="34" t="str">
        <f>IF(G365=TRUE,H347,"")</f>
        <v/>
      </c>
      <c r="I365" s="34"/>
      <c r="J365" s="14"/>
    </row>
    <row r="366" hidden="1">
      <c r="A366" s="35" t="str">
        <f>HYPERLINK("https://github.com/pytorch/pytorch/blob/f99ab991dcd3719ee25dd3377a53ea12e518308e/test/test_utils.py#L849", "TestDeviceUtils")</f>
        <v>TestDeviceUtils</v>
      </c>
      <c r="B366" s="25" t="s">
        <v>772</v>
      </c>
      <c r="C366" s="25" t="s">
        <v>790</v>
      </c>
      <c r="D366" s="25" t="s">
        <v>15</v>
      </c>
      <c r="E366" s="36" t="s">
        <v>734</v>
      </c>
      <c r="F366" s="37" t="b">
        <f t="shared" ref="F366:G366" si="208">IF(F347=TRUE,TRUE,FALSE)</f>
        <v>1</v>
      </c>
      <c r="G366" s="37" t="b">
        <f t="shared" si="208"/>
        <v>0</v>
      </c>
      <c r="H366" s="34" t="str">
        <f>IF(G366=TRUE,H347,"")</f>
        <v/>
      </c>
      <c r="I366" s="34"/>
      <c r="J366" s="14"/>
    </row>
    <row r="367" hidden="1">
      <c r="A367" s="29" t="str">
        <f>HYPERLINK("https://github.com/pytorch/pytorch/blob/f99ab991dcd3719ee25dd3377a53ea12e518308e/test/test_utils.py#L961", "TestCppExtensionUtils")</f>
        <v>TestCppExtensionUtils</v>
      </c>
      <c r="B367" s="30" t="s">
        <v>772</v>
      </c>
      <c r="C367" s="30" t="s">
        <v>791</v>
      </c>
      <c r="D367" s="30" t="s">
        <v>64</v>
      </c>
      <c r="E367" s="31" t="s">
        <v>792</v>
      </c>
      <c r="F367" s="33" t="b">
        <f t="shared" ref="F367:G367" si="209">IF(F347=TRUE,TRUE,FALSE)</f>
        <v>1</v>
      </c>
      <c r="G367" s="33" t="b">
        <f t="shared" si="209"/>
        <v>0</v>
      </c>
      <c r="H367" s="34" t="str">
        <f>IF(G367=TRUE,H347,"")</f>
        <v/>
      </c>
      <c r="I367" s="34"/>
      <c r="J367" s="14"/>
    </row>
    <row r="368" hidden="1">
      <c r="A368" s="35" t="str">
        <f>HYPERLINK("https://github.com/pytorch/pytorch/blob/f99ab991dcd3719ee25dd3377a53ea12e518308e/test/test_utils.py#L969", "TestTraceback")</f>
        <v>TestTraceback</v>
      </c>
      <c r="B368" s="25" t="s">
        <v>772</v>
      </c>
      <c r="C368" s="25" t="s">
        <v>793</v>
      </c>
      <c r="D368" s="25" t="s">
        <v>64</v>
      </c>
      <c r="E368" s="36" t="s">
        <v>794</v>
      </c>
      <c r="F368" s="37" t="b">
        <f t="shared" ref="F368:G368" si="210">IF(F347=TRUE,TRUE,FALSE)</f>
        <v>1</v>
      </c>
      <c r="G368" s="37" t="b">
        <f t="shared" si="210"/>
        <v>0</v>
      </c>
      <c r="H368" s="34" t="str">
        <f>IF(G368=TRUE,H347,"")</f>
        <v/>
      </c>
      <c r="I368" s="34"/>
      <c r="J368" s="14"/>
    </row>
    <row r="369" hidden="1">
      <c r="A369" s="29" t="str">
        <f>HYPERLINK("https://github.com/pytorch/pytorch/blob/f99ab991dcd3719ee25dd3377a53ea12e518308e/test/test_utils.py#L1019", "TestTryImport")</f>
        <v>TestTryImport</v>
      </c>
      <c r="B369" s="30" t="s">
        <v>772</v>
      </c>
      <c r="C369" s="30" t="s">
        <v>795</v>
      </c>
      <c r="D369" s="30" t="s">
        <v>64</v>
      </c>
      <c r="E369" s="31" t="s">
        <v>796</v>
      </c>
      <c r="F369" s="33" t="b">
        <f t="shared" ref="F369:G369" si="211">IF(F347=TRUE,TRUE,FALSE)</f>
        <v>1</v>
      </c>
      <c r="G369" s="33" t="b">
        <f t="shared" si="211"/>
        <v>0</v>
      </c>
      <c r="H369" s="34" t="str">
        <f>IF(G369=TRUE,H347,"")</f>
        <v/>
      </c>
      <c r="I369" s="34"/>
      <c r="J369" s="14"/>
    </row>
    <row r="370" hidden="1">
      <c r="A370" s="35" t="str">
        <f>HYPERLINK("https://github.com/pytorch/pytorch/blob/f99ab991dcd3719ee25dd3377a53ea12e518308e/test/test_utils.py#L1042", "TestDeprecate")</f>
        <v>TestDeprecate</v>
      </c>
      <c r="B370" s="25" t="s">
        <v>772</v>
      </c>
      <c r="C370" s="25" t="s">
        <v>797</v>
      </c>
      <c r="D370" s="25" t="s">
        <v>64</v>
      </c>
      <c r="E370" s="36" t="s">
        <v>798</v>
      </c>
      <c r="F370" s="37" t="b">
        <f t="shared" ref="F370:G370" si="212">IF(F347=TRUE,TRUE,FALSE)</f>
        <v>1</v>
      </c>
      <c r="G370" s="37" t="b">
        <f t="shared" si="212"/>
        <v>0</v>
      </c>
      <c r="H370" s="34" t="str">
        <f>IF(G370=TRUE,H347,"")</f>
        <v/>
      </c>
      <c r="I370" s="34"/>
      <c r="J370" s="14"/>
    </row>
    <row r="371" hidden="1">
      <c r="A371" s="29" t="str">
        <f>HYPERLINK("https://github.com/pytorch/pytorch/blob/f99ab991dcd3719ee25dd3377a53ea12e518308e/test/test_utils.py#L1054", "TestDeviceLazyInit")</f>
        <v>TestDeviceLazyInit</v>
      </c>
      <c r="B371" s="30" t="s">
        <v>772</v>
      </c>
      <c r="C371" s="30" t="s">
        <v>799</v>
      </c>
      <c r="D371" s="30" t="s">
        <v>15</v>
      </c>
      <c r="E371" s="31" t="s">
        <v>800</v>
      </c>
      <c r="F371" s="33" t="b">
        <f t="shared" ref="F371:G371" si="213">IF(F347=TRUE,TRUE,FALSE)</f>
        <v>1</v>
      </c>
      <c r="G371" s="33" t="b">
        <f t="shared" si="213"/>
        <v>0</v>
      </c>
      <c r="H371" s="34" t="str">
        <f>IF(G371=TRUE,H347,"")</f>
        <v/>
      </c>
      <c r="I371" s="34"/>
      <c r="J371" s="14"/>
    </row>
    <row r="372" hidden="1">
      <c r="A372" s="35" t="str">
        <f>HYPERLINK("https://github.com/pytorch/pytorch/blob/f99ab991dcd3719ee25dd3377a53ea12e518308e/test/test_utils_config_module.py#L23", "TestConfigModule")</f>
        <v>TestConfigModule</v>
      </c>
      <c r="B372" s="25" t="s">
        <v>801</v>
      </c>
      <c r="C372" s="25" t="s">
        <v>802</v>
      </c>
      <c r="D372" s="25" t="s">
        <v>64</v>
      </c>
      <c r="E372" s="36" t="s">
        <v>803</v>
      </c>
      <c r="F372" s="37" t="b">
        <f t="shared" ref="F372:G372" si="214">IF(F347=TRUE,TRUE,FALSE)</f>
        <v>1</v>
      </c>
      <c r="G372" s="37" t="b">
        <f t="shared" si="214"/>
        <v>0</v>
      </c>
      <c r="H372" s="34" t="str">
        <f>IF(G372=TRUE,H347,"")</f>
        <v/>
      </c>
      <c r="I372" s="34"/>
      <c r="J372" s="14"/>
    </row>
    <row r="373" hidden="1">
      <c r="A373" s="29" t="str">
        <f>HYPERLINK("https://github.com/pytorch/pytorch/blob/f99ab991dcd3719ee25dd3377a53ea12e518308e/test/test_utils_filelock.py#L10", "TestFileLock")</f>
        <v>TestFileLock</v>
      </c>
      <c r="B373" s="30" t="s">
        <v>804</v>
      </c>
      <c r="C373" s="30" t="s">
        <v>805</v>
      </c>
      <c r="D373" s="30" t="s">
        <v>64</v>
      </c>
      <c r="E373" s="31" t="s">
        <v>806</v>
      </c>
      <c r="F373" s="33" t="b">
        <f t="shared" ref="F373:G373" si="215">IF(F347=TRUE,TRUE,FALSE)</f>
        <v>1</v>
      </c>
      <c r="G373" s="33" t="b">
        <f t="shared" si="215"/>
        <v>0</v>
      </c>
      <c r="H373" s="34" t="str">
        <f>IF(G373=TRUE,H347,"")</f>
        <v/>
      </c>
      <c r="I373" s="34"/>
      <c r="J373" s="14"/>
    </row>
    <row r="374" hidden="1">
      <c r="A374" s="15" t="s">
        <v>807</v>
      </c>
      <c r="B374" s="16"/>
      <c r="C374" s="16"/>
      <c r="D374" s="16"/>
      <c r="E374" s="17"/>
      <c r="F374" s="18" t="b">
        <v>1</v>
      </c>
      <c r="G374" s="18" t="b">
        <v>0</v>
      </c>
      <c r="H374" s="20"/>
      <c r="I374" s="20"/>
      <c r="J374" s="14"/>
    </row>
    <row r="375" hidden="1">
      <c r="A375" s="35" t="str">
        <f>HYPERLINK("https://github.com/pytorch/pytorch/blob/f99ab991dcd3719ee25dd3377a53ea12e518308e/test/test_ci_sanity_check_fail.py#L9", "TestCISanityCheck")</f>
        <v>TestCISanityCheck</v>
      </c>
      <c r="B375" s="25" t="s">
        <v>808</v>
      </c>
      <c r="C375" s="25" t="s">
        <v>809</v>
      </c>
      <c r="D375" s="25" t="s">
        <v>64</v>
      </c>
      <c r="E375" s="36" t="s">
        <v>810</v>
      </c>
      <c r="F375" s="37" t="b">
        <f t="shared" ref="F375:G375" si="216">IF(F374=TRUE,TRUE,FALSE)</f>
        <v>1</v>
      </c>
      <c r="G375" s="37" t="b">
        <f t="shared" si="216"/>
        <v>0</v>
      </c>
      <c r="H375" s="34" t="str">
        <f>IF(G375=TRUE,H374,"")</f>
        <v/>
      </c>
      <c r="I375" s="34"/>
      <c r="J375" s="14"/>
    </row>
    <row r="376" hidden="1">
      <c r="A376" s="68" t="str">
        <f>HYPERLINK("https://github.com/pytorch/pytorch/blob/f99ab991dcd3719ee25dd3377a53ea12e518308e/test/test_compile_benchmark_util.py#L22", "TestCompileBenchmarkUtil")</f>
        <v>TestCompileBenchmarkUtil</v>
      </c>
      <c r="B376" s="51" t="s">
        <v>811</v>
      </c>
      <c r="C376" s="51" t="s">
        <v>812</v>
      </c>
      <c r="D376" s="51" t="s">
        <v>284</v>
      </c>
      <c r="E376" s="52" t="s">
        <v>813</v>
      </c>
      <c r="F376" s="53" t="b">
        <f>IF(F374=TRUE,TRUE,FALSE)</f>
        <v>1</v>
      </c>
      <c r="G376" s="53" t="s">
        <v>644</v>
      </c>
      <c r="H376" s="51" t="str">
        <f>IF(G376=TRUE,H374,"")</f>
        <v/>
      </c>
      <c r="I376" s="65" t="s">
        <v>17</v>
      </c>
      <c r="J376" s="27" t="s">
        <v>814</v>
      </c>
    </row>
    <row r="377" hidden="1">
      <c r="A377" s="35" t="str">
        <f>HYPERLINK("https://github.com/pytorch/pytorch/blob/f99ab991dcd3719ee25dd3377a53ea12e518308e/test/test_determination.py#L14", "DeterminationTest")</f>
        <v>DeterminationTest</v>
      </c>
      <c r="B377" s="25" t="s">
        <v>815</v>
      </c>
      <c r="C377" s="25" t="s">
        <v>816</v>
      </c>
      <c r="D377" s="25" t="s">
        <v>64</v>
      </c>
      <c r="E377" s="36" t="s">
        <v>817</v>
      </c>
      <c r="F377" s="37" t="b">
        <f t="shared" ref="F377:G377" si="217">IF(F374=TRUE,TRUE,FALSE)</f>
        <v>1</v>
      </c>
      <c r="G377" s="37" t="b">
        <f t="shared" si="217"/>
        <v>0</v>
      </c>
      <c r="H377" s="34" t="str">
        <f>IF(G377=TRUE,H374,"")</f>
        <v/>
      </c>
      <c r="I377" s="34"/>
      <c r="J377" s="14"/>
    </row>
    <row r="378" hidden="1">
      <c r="A378" s="29" t="str">
        <f>HYPERLINK("https://github.com/pytorch/pytorch/blob/f99ab991dcd3719ee25dd3377a53ea12e518308e/test/test_function_schema.py#L8", "TestFunctionSchema")</f>
        <v>TestFunctionSchema</v>
      </c>
      <c r="B378" s="30" t="s">
        <v>818</v>
      </c>
      <c r="C378" s="30" t="s">
        <v>819</v>
      </c>
      <c r="D378" s="30" t="s">
        <v>64</v>
      </c>
      <c r="E378" s="31" t="s">
        <v>820</v>
      </c>
      <c r="F378" s="33" t="b">
        <f t="shared" ref="F378:G378" si="218">IF(F374=TRUE,TRUE,FALSE)</f>
        <v>1</v>
      </c>
      <c r="G378" s="33" t="b">
        <f t="shared" si="218"/>
        <v>0</v>
      </c>
      <c r="H378" s="34" t="str">
        <f>IF(G378=TRUE,H374,"")</f>
        <v/>
      </c>
      <c r="I378" s="34"/>
      <c r="J378" s="14"/>
    </row>
    <row r="379" hidden="1">
      <c r="A379" s="35" t="str">
        <f>HYPERLINK("https://github.com/pytorch/pytorch/blob/f99ab991dcd3719ee25dd3377a53ea12e518308e/test/test_import_stats.py#L9", "TestImportTime")</f>
        <v>TestImportTime</v>
      </c>
      <c r="B379" s="25" t="s">
        <v>821</v>
      </c>
      <c r="C379" s="25" t="s">
        <v>822</v>
      </c>
      <c r="D379" s="25" t="s">
        <v>64</v>
      </c>
      <c r="E379" s="36" t="s">
        <v>823</v>
      </c>
      <c r="F379" s="37" t="b">
        <f t="shared" ref="F379:G379" si="219">IF(F374=TRUE,TRUE,FALSE)</f>
        <v>1</v>
      </c>
      <c r="G379" s="37" t="b">
        <f t="shared" si="219"/>
        <v>0</v>
      </c>
      <c r="H379" s="34" t="str">
        <f>IF(G379=TRUE,H374,"")</f>
        <v/>
      </c>
      <c r="I379" s="34"/>
      <c r="J379" s="14"/>
    </row>
    <row r="380" hidden="1">
      <c r="A380" s="29" t="str">
        <f>HYPERLINK("https://github.com/pytorch/pytorch/blob/f99ab991dcd3719ee25dd3377a53ea12e518308e/test/test_license.py#L23", "TestLicense")</f>
        <v>TestLicense</v>
      </c>
      <c r="B380" s="30" t="s">
        <v>824</v>
      </c>
      <c r="C380" s="30" t="s">
        <v>825</v>
      </c>
      <c r="D380" s="30" t="s">
        <v>64</v>
      </c>
      <c r="E380" s="31" t="s">
        <v>826</v>
      </c>
      <c r="F380" s="33" t="b">
        <f t="shared" ref="F380:G380" si="220">IF(F374=TRUE,TRUE,FALSE)</f>
        <v>1</v>
      </c>
      <c r="G380" s="33" t="b">
        <f t="shared" si="220"/>
        <v>0</v>
      </c>
      <c r="H380" s="34" t="str">
        <f>IF(G380=TRUE,H374,"")</f>
        <v/>
      </c>
      <c r="I380" s="34"/>
      <c r="J380" s="14"/>
    </row>
    <row r="381" hidden="1">
      <c r="A381" s="35" t="str">
        <f>HYPERLINK("https://github.com/pytorch/pytorch/blob/f99ab991dcd3719ee25dd3377a53ea12e518308e/test/test_namedtuple_return_api.py#L36", "TestNamedTupleAPI")</f>
        <v>TestNamedTupleAPI</v>
      </c>
      <c r="B381" s="25" t="s">
        <v>827</v>
      </c>
      <c r="C381" s="25" t="s">
        <v>828</v>
      </c>
      <c r="D381" s="25" t="s">
        <v>64</v>
      </c>
      <c r="E381" s="36" t="s">
        <v>829</v>
      </c>
      <c r="F381" s="37" t="b">
        <f t="shared" ref="F381:G381" si="221">IF(F374=TRUE,TRUE,FALSE)</f>
        <v>1</v>
      </c>
      <c r="G381" s="37" t="b">
        <f t="shared" si="221"/>
        <v>0</v>
      </c>
      <c r="H381" s="34" t="str">
        <f>IF(G381=TRUE,H374,"")</f>
        <v/>
      </c>
      <c r="I381" s="34"/>
      <c r="J381" s="14"/>
    </row>
    <row r="382" hidden="1">
      <c r="A382" s="29" t="str">
        <f>HYPERLINK("https://github.com/pytorch/pytorch/blob/f99ab991dcd3719ee25dd3377a53ea12e518308e/test/test_native_functions.py#L20", "TestNativeFunctions")</f>
        <v>TestNativeFunctions</v>
      </c>
      <c r="B382" s="30" t="s">
        <v>830</v>
      </c>
      <c r="C382" s="30" t="s">
        <v>831</v>
      </c>
      <c r="D382" s="30" t="s">
        <v>64</v>
      </c>
      <c r="E382" s="31" t="s">
        <v>661</v>
      </c>
      <c r="F382" s="33" t="b">
        <f t="shared" ref="F382:G382" si="222">IF(F374=TRUE,TRUE,FALSE)</f>
        <v>1</v>
      </c>
      <c r="G382" s="33" t="b">
        <f t="shared" si="222"/>
        <v>0</v>
      </c>
      <c r="H382" s="34" t="str">
        <f>IF(G382=TRUE,H374,"")</f>
        <v/>
      </c>
      <c r="I382" s="34"/>
      <c r="J382" s="14"/>
    </row>
    <row r="383" hidden="1">
      <c r="A383" s="35" t="str">
        <f>HYPERLINK("https://github.com/pytorch/pytorch/blob/f99ab991dcd3719ee25dd3377a53ea12e518308e/test/test_openmp.py#L30", "TestOpenMP_ParallelFor")</f>
        <v>TestOpenMP_ParallelFor</v>
      </c>
      <c r="B383" s="25" t="s">
        <v>832</v>
      </c>
      <c r="C383" s="25" t="s">
        <v>833</v>
      </c>
      <c r="D383" s="25" t="s">
        <v>172</v>
      </c>
      <c r="E383" s="36" t="s">
        <v>834</v>
      </c>
      <c r="F383" s="37" t="b">
        <f t="shared" ref="F383:G383" si="223">IF(F374=TRUE,TRUE,FALSE)</f>
        <v>1</v>
      </c>
      <c r="G383" s="37" t="b">
        <f t="shared" si="223"/>
        <v>0</v>
      </c>
      <c r="H383" s="34" t="str">
        <f>IF(G383=TRUE,H374,"")</f>
        <v/>
      </c>
      <c r="I383" s="34"/>
      <c r="J383" s="14"/>
    </row>
    <row r="384" hidden="1">
      <c r="A384" s="29" t="str">
        <f>HYPERLINK("https://github.com/pytorch/pytorch/blob/f99ab991dcd3719ee25dd3377a53ea12e518308e/test/test_per_overload_api.py#L8", "TestPerOverloadAPI")</f>
        <v>TestPerOverloadAPI</v>
      </c>
      <c r="B384" s="30" t="s">
        <v>835</v>
      </c>
      <c r="C384" s="30" t="s">
        <v>836</v>
      </c>
      <c r="D384" s="30" t="s">
        <v>64</v>
      </c>
      <c r="E384" s="31" t="s">
        <v>837</v>
      </c>
      <c r="F384" s="33" t="b">
        <f t="shared" ref="F384:G384" si="224">IF(F374=TRUE,TRUE,FALSE)</f>
        <v>1</v>
      </c>
      <c r="G384" s="33" t="b">
        <f t="shared" si="224"/>
        <v>0</v>
      </c>
      <c r="H384" s="34" t="str">
        <f>IF(G384=TRUE,H374,"")</f>
        <v/>
      </c>
      <c r="I384" s="34"/>
      <c r="J384" s="14"/>
    </row>
    <row r="385" hidden="1">
      <c r="A385" s="35" t="str">
        <f>HYPERLINK("https://github.com/pytorch/pytorch/blob/f99ab991dcd3719ee25dd3377a53ea12e518308e/test/test_public_bindings.py#L27", "TestPublicBindings")</f>
        <v>TestPublicBindings</v>
      </c>
      <c r="B385" s="25" t="s">
        <v>838</v>
      </c>
      <c r="C385" s="25" t="s">
        <v>839</v>
      </c>
      <c r="D385" s="25" t="s">
        <v>64</v>
      </c>
      <c r="E385" s="36" t="s">
        <v>840</v>
      </c>
      <c r="F385" s="37" t="b">
        <f t="shared" ref="F385:G385" si="225">IF(F374=TRUE,TRUE,FALSE)</f>
        <v>1</v>
      </c>
      <c r="G385" s="37" t="b">
        <f t="shared" si="225"/>
        <v>0</v>
      </c>
      <c r="H385" s="34" t="str">
        <f>IF(G385=TRUE,H374,"")</f>
        <v/>
      </c>
      <c r="I385" s="34"/>
      <c r="J385" s="14"/>
    </row>
    <row r="386" hidden="1">
      <c r="A386" s="29" t="str">
        <f>HYPERLINK("https://github.com/pytorch/pytorch/blob/f99ab991dcd3719ee25dd3377a53ea12e518308e/test/test_torch_config_hash_determinism.py#L21", "TestConfigModule")</f>
        <v>TestConfigModule</v>
      </c>
      <c r="B386" s="30" t="s">
        <v>841</v>
      </c>
      <c r="C386" s="30" t="s">
        <v>842</v>
      </c>
      <c r="D386" s="30" t="s">
        <v>64</v>
      </c>
      <c r="E386" s="31" t="s">
        <v>843</v>
      </c>
      <c r="F386" s="33" t="b">
        <f t="shared" ref="F386:G386" si="226">IF(F374=TRUE,TRUE,FALSE)</f>
        <v>1</v>
      </c>
      <c r="G386" s="33" t="b">
        <f t="shared" si="226"/>
        <v>0</v>
      </c>
      <c r="H386" s="34" t="str">
        <f>IF(G386=TRUE,H374,"")</f>
        <v/>
      </c>
      <c r="I386" s="34"/>
      <c r="J386" s="14"/>
    </row>
    <row r="387" hidden="1">
      <c r="A387" s="35" t="str">
        <f>HYPERLINK("https://github.com/pytorch/pytorch/blob/f99ab991dcd3719ee25dd3377a53ea12e518308e/test/test_type_hints.py#L98", "TestTypeHints")</f>
        <v>TestTypeHints</v>
      </c>
      <c r="B387" s="25" t="s">
        <v>844</v>
      </c>
      <c r="C387" s="25" t="s">
        <v>845</v>
      </c>
      <c r="D387" s="25" t="s">
        <v>64</v>
      </c>
      <c r="E387" s="36" t="s">
        <v>846</v>
      </c>
      <c r="F387" s="37" t="b">
        <f t="shared" ref="F387:G387" si="227">IF(F374=TRUE,TRUE,FALSE)</f>
        <v>1</v>
      </c>
      <c r="G387" s="37" t="b">
        <f t="shared" si="227"/>
        <v>0</v>
      </c>
      <c r="H387" s="34" t="str">
        <f>IF(G387=TRUE,H374,"")</f>
        <v/>
      </c>
      <c r="I387" s="34"/>
      <c r="J387" s="14"/>
    </row>
    <row r="388" hidden="1">
      <c r="A388" s="29" t="str">
        <f>HYPERLINK("https://github.com/pytorch/pytorch/blob/f99ab991dcd3719ee25dd3377a53ea12e518308e/test/test_typing.py#L162", "TestTyping")</f>
        <v>TestTyping</v>
      </c>
      <c r="B388" s="30" t="s">
        <v>847</v>
      </c>
      <c r="C388" s="30" t="s">
        <v>848</v>
      </c>
      <c r="D388" s="30" t="s">
        <v>64</v>
      </c>
      <c r="E388" s="31" t="s">
        <v>849</v>
      </c>
      <c r="F388" s="33" t="b">
        <f t="shared" ref="F388:G388" si="228">IF(F374=TRUE,TRUE,FALSE)</f>
        <v>1</v>
      </c>
      <c r="G388" s="33" t="b">
        <f t="shared" si="228"/>
        <v>0</v>
      </c>
      <c r="H388" s="34" t="str">
        <f>IF(G388=TRUE,H374,"")</f>
        <v/>
      </c>
      <c r="I388" s="34"/>
      <c r="J388" s="14"/>
    </row>
    <row r="389" hidden="1">
      <c r="A389" s="69" t="s">
        <v>850</v>
      </c>
      <c r="B389" s="70"/>
      <c r="C389" s="70"/>
      <c r="D389" s="70"/>
      <c r="E389" s="11"/>
      <c r="F389" s="71" t="b">
        <v>1</v>
      </c>
      <c r="G389" s="72"/>
      <c r="H389" s="72"/>
      <c r="I389" s="72"/>
      <c r="J389" s="14"/>
    </row>
    <row r="390" hidden="1">
      <c r="A390" s="46" t="str">
        <f>HYPERLINK("https://github.com/pytorch/pytorch/blob/f99ab991dcd3719ee25dd3377a53ea12e518308e/test/quantization/core/experimental/test_floatx.py#L238", "TestFloat8Dtype")</f>
        <v>TestFloat8Dtype</v>
      </c>
      <c r="B390" s="47" t="s">
        <v>851</v>
      </c>
      <c r="C390" s="47"/>
      <c r="D390" s="47" t="s">
        <v>852</v>
      </c>
      <c r="E390" s="39"/>
      <c r="F390" s="73" t="b">
        <f t="shared" ref="F390:F393" si="229">IF(F386=TRUE,TRUE,FALSE)</f>
        <v>1</v>
      </c>
      <c r="G390" s="48" t="b">
        <f>IF(G379=TRUE,TRUE,FALSE)</f>
        <v>0</v>
      </c>
      <c r="H390" s="47" t="str">
        <f>IF(G390=TRUE,H379,"")</f>
        <v/>
      </c>
      <c r="I390" s="47"/>
      <c r="J390" s="14"/>
    </row>
    <row r="391" hidden="1">
      <c r="A391" s="46" t="str">
        <f>HYPERLINK("https://github.com/pytorch/pytorch/blob/f99ab991dcd3719ee25dd3377a53ea12e518308e/test/quantization/core/experimental/test_floatx.py#L396", "TestFloat4Dtype")</f>
        <v>TestFloat4Dtype</v>
      </c>
      <c r="B391" s="47" t="s">
        <v>851</v>
      </c>
      <c r="C391" s="47"/>
      <c r="D391" s="47" t="s">
        <v>852</v>
      </c>
      <c r="E391" s="39"/>
      <c r="F391" s="73" t="b">
        <f t="shared" si="229"/>
        <v>1</v>
      </c>
      <c r="G391" s="48" t="b">
        <f>IF(G379=TRUE,TRUE,FALSE)</f>
        <v>0</v>
      </c>
      <c r="H391" s="47" t="str">
        <f>IF(G391=TRUE,H379,"")</f>
        <v/>
      </c>
      <c r="I391" s="47"/>
      <c r="J391" s="14"/>
    </row>
    <row r="392" hidden="1">
      <c r="A392" s="46" t="str">
        <f>HYPERLINK("https://github.com/pytorch/pytorch/blob/f99ab991dcd3719ee25dd3377a53ea12e518308e/test/quantization/core/experimental/test_floatx.py#L436", "TestFloat8DtypeCPUOnly")</f>
        <v>TestFloat8DtypeCPUOnly</v>
      </c>
      <c r="B392" s="47" t="s">
        <v>851</v>
      </c>
      <c r="C392" s="47"/>
      <c r="D392" s="47" t="s">
        <v>852</v>
      </c>
      <c r="E392" s="39"/>
      <c r="F392" s="73" t="b">
        <f t="shared" si="229"/>
        <v>1</v>
      </c>
      <c r="G392" s="48" t="b">
        <f>IF(G379=TRUE,TRUE,FALSE)</f>
        <v>0</v>
      </c>
      <c r="H392" s="47" t="str">
        <f>IF(G392=TRUE,H379,"")</f>
        <v/>
      </c>
      <c r="I392" s="47"/>
      <c r="J392" s="14"/>
    </row>
    <row r="393" hidden="1">
      <c r="A393" s="74" t="str">
        <f>HYPERLINK("https://github.com/pytorch/pytorch/blob/f99ab991dcd3719ee25dd3377a53ea12e518308e/test/test_scaled_matmul_cuda.py#L630", "TestFP8Matmul")</f>
        <v>TestFP8Matmul</v>
      </c>
      <c r="B393" s="52" t="s">
        <v>853</v>
      </c>
      <c r="C393" s="52" t="s">
        <v>854</v>
      </c>
      <c r="D393" s="52" t="s">
        <v>109</v>
      </c>
      <c r="E393" s="52" t="s">
        <v>855</v>
      </c>
      <c r="F393" s="75" t="b">
        <f t="shared" si="229"/>
        <v>1</v>
      </c>
      <c r="G393" s="75" t="s">
        <v>310</v>
      </c>
      <c r="H393" s="52" t="str">
        <f>IF(G393=TRUE,#REF!,"")</f>
        <v/>
      </c>
      <c r="I393" s="76" t="s">
        <v>17</v>
      </c>
      <c r="J393" s="27" t="s">
        <v>856</v>
      </c>
    </row>
    <row r="394" hidden="1">
      <c r="A394" s="9" t="s">
        <v>857</v>
      </c>
      <c r="B394" s="10"/>
      <c r="C394" s="10"/>
      <c r="D394" s="10"/>
      <c r="E394" s="11"/>
      <c r="F394" s="12"/>
      <c r="G394" s="12"/>
      <c r="H394" s="12"/>
      <c r="I394" s="12"/>
      <c r="J394" s="14"/>
    </row>
    <row r="395" hidden="1">
      <c r="A395" s="15" t="s">
        <v>858</v>
      </c>
      <c r="B395" s="16"/>
      <c r="C395" s="16"/>
      <c r="D395" s="16"/>
      <c r="E395" s="17"/>
      <c r="F395" s="18" t="b">
        <v>0</v>
      </c>
      <c r="G395" s="18" t="b">
        <v>0</v>
      </c>
      <c r="H395" s="20"/>
      <c r="I395" s="20"/>
      <c r="J395" s="14"/>
    </row>
    <row r="396">
      <c r="A396" s="77" t="str">
        <f>HYPERLINK("https://github.com/pytorch/pytorch/blob/f99ab991dcd3719ee25dd3377a53ea12e518308e/test/test_dlpack.py#L47", "TestTorchDlPack")</f>
        <v>TestTorchDlPack</v>
      </c>
      <c r="B396" s="78" t="s">
        <v>859</v>
      </c>
      <c r="C396" s="79" t="s">
        <v>860</v>
      </c>
      <c r="D396" s="79" t="s">
        <v>15</v>
      </c>
      <c r="E396" s="80" t="s">
        <v>861</v>
      </c>
      <c r="F396" s="81" t="b">
        <v>1</v>
      </c>
      <c r="G396" s="81" t="b">
        <v>1</v>
      </c>
      <c r="H396" s="82" t="s">
        <v>169</v>
      </c>
      <c r="I396" s="26" t="s">
        <v>17</v>
      </c>
      <c r="J396" s="83"/>
      <c r="K396" s="84"/>
      <c r="L396" s="84"/>
      <c r="M396" s="84"/>
      <c r="N396" s="84"/>
      <c r="O396" s="84"/>
      <c r="P396" s="84"/>
      <c r="Q396" s="84"/>
      <c r="R396" s="84"/>
      <c r="S396" s="84"/>
      <c r="T396" s="84"/>
      <c r="U396" s="84"/>
      <c r="V396" s="84"/>
      <c r="W396" s="84"/>
      <c r="X396" s="84"/>
      <c r="Y396" s="84"/>
      <c r="Z396" s="84"/>
    </row>
    <row r="397" hidden="1">
      <c r="A397" s="68" t="str">
        <f>HYPERLINK("https://github.com/pytorch/pytorch/blob/f99ab991dcd3719ee25dd3377a53ea12e518308e/test/test_hop_infra.py#L26", "TestHOPInfra")</f>
        <v>TestHOPInfra</v>
      </c>
      <c r="B397" s="51" t="s">
        <v>862</v>
      </c>
      <c r="C397" s="51" t="s">
        <v>863</v>
      </c>
      <c r="D397" s="51" t="s">
        <v>64</v>
      </c>
      <c r="E397" s="52" t="s">
        <v>864</v>
      </c>
      <c r="F397" s="53" t="b">
        <v>1</v>
      </c>
      <c r="G397" s="53" t="s">
        <v>644</v>
      </c>
      <c r="H397" s="51" t="str">
        <f>IF(G397=TRUE,H395,"")</f>
        <v/>
      </c>
      <c r="I397" s="26" t="s">
        <v>17</v>
      </c>
      <c r="J397" s="14" t="s">
        <v>865</v>
      </c>
    </row>
    <row r="398" hidden="1">
      <c r="A398" s="85" t="str">
        <f>HYPERLINK("https://github.com/pytorch/pytorch/blob/f99ab991dcd3719ee25dd3377a53ea12e518308e/test/test_hub.py#L34", "TestHub")</f>
        <v>TestHub</v>
      </c>
      <c r="B398" s="86" t="s">
        <v>866</v>
      </c>
      <c r="C398" s="86" t="s">
        <v>867</v>
      </c>
      <c r="D398" s="86" t="s">
        <v>64</v>
      </c>
      <c r="E398" s="87" t="s">
        <v>868</v>
      </c>
      <c r="F398" s="88" t="b">
        <v>0</v>
      </c>
      <c r="G398" s="88" t="b">
        <f>IF(G395=TRUE,TRUE,FALSE)</f>
        <v>0</v>
      </c>
      <c r="H398" s="86" t="str">
        <f>IF(G398=TRUE,H395,"")</f>
        <v/>
      </c>
      <c r="I398" s="86"/>
      <c r="J398" s="89"/>
    </row>
    <row r="399" hidden="1">
      <c r="A399" s="85" t="str">
        <f>HYPERLINK("https://github.com/pytorch/pytorch/blob/f99ab991dcd3719ee25dd3377a53ea12e518308e/test/test_legacy_vmap.py#L29", "TestVmapAPILegacy")</f>
        <v>TestVmapAPILegacy</v>
      </c>
      <c r="B399" s="86" t="s">
        <v>869</v>
      </c>
      <c r="C399" s="86" t="s">
        <v>870</v>
      </c>
      <c r="D399" s="86" t="s">
        <v>64</v>
      </c>
      <c r="E399" s="87" t="s">
        <v>661</v>
      </c>
      <c r="F399" s="88" t="b">
        <v>0</v>
      </c>
      <c r="G399" s="88" t="b">
        <f>IF(G395=TRUE,TRUE,FALSE)</f>
        <v>0</v>
      </c>
      <c r="H399" s="86" t="str">
        <f>IF(G399=TRUE,H395,"")</f>
        <v/>
      </c>
      <c r="I399" s="86"/>
      <c r="J399" s="89"/>
    </row>
    <row r="400" hidden="1">
      <c r="A400" s="85" t="str">
        <f>HYPERLINK("https://github.com/pytorch/pytorch/blob/f99ab991dcd3719ee25dd3377a53ea12e518308e/test/test_legacy_vmap.py#L1034", "TestVmapOperatorsLegacy")</f>
        <v>TestVmapOperatorsLegacy</v>
      </c>
      <c r="B400" s="86" t="s">
        <v>869</v>
      </c>
      <c r="C400" s="86" t="s">
        <v>871</v>
      </c>
      <c r="D400" s="86" t="s">
        <v>112</v>
      </c>
      <c r="E400" s="87" t="s">
        <v>872</v>
      </c>
      <c r="F400" s="88" t="b">
        <v>0</v>
      </c>
      <c r="G400" s="88" t="b">
        <f>IF(G395=TRUE,TRUE,FALSE)</f>
        <v>0</v>
      </c>
      <c r="H400" s="86" t="str">
        <f>IF(G400=TRUE,H395,"")</f>
        <v/>
      </c>
      <c r="I400" s="86"/>
      <c r="J400" s="89"/>
    </row>
    <row r="401" hidden="1">
      <c r="A401" s="85" t="str">
        <f>HYPERLINK("https://github.com/pytorch/pytorch/blob/f99ab991dcd3719ee25dd3377a53ea12e518308e/test/test_legacy_vmap.py#L2555", "TestVmapBatchedGradientLegacy")</f>
        <v>TestVmapBatchedGradientLegacy</v>
      </c>
      <c r="B401" s="86" t="s">
        <v>869</v>
      </c>
      <c r="C401" s="86" t="s">
        <v>873</v>
      </c>
      <c r="D401" s="86" t="s">
        <v>15</v>
      </c>
      <c r="E401" s="87" t="s">
        <v>734</v>
      </c>
      <c r="F401" s="88" t="b">
        <v>0</v>
      </c>
      <c r="G401" s="88" t="b">
        <f>IF(G395=TRUE,TRUE,FALSE)</f>
        <v>0</v>
      </c>
      <c r="H401" s="86" t="str">
        <f>IF(G401=TRUE,H395,"")</f>
        <v/>
      </c>
      <c r="I401" s="86"/>
      <c r="J401" s="89"/>
    </row>
    <row r="402" hidden="1">
      <c r="A402" s="85" t="str">
        <f>HYPERLINK("https://github.com/pytorch/pytorch/blob/f99ab991dcd3719ee25dd3377a53ea12e518308e/test/test_numba_integration.py#L22", "TestNumbaIntegration")</f>
        <v>TestNumbaIntegration</v>
      </c>
      <c r="B402" s="86" t="s">
        <v>874</v>
      </c>
      <c r="C402" s="86" t="s">
        <v>875</v>
      </c>
      <c r="D402" s="86" t="s">
        <v>284</v>
      </c>
      <c r="E402" s="87" t="s">
        <v>876</v>
      </c>
      <c r="F402" s="88" t="b">
        <v>0</v>
      </c>
      <c r="G402" s="88" t="b">
        <f>IF(G395=TRUE,TRUE,FALSE)</f>
        <v>0</v>
      </c>
      <c r="H402" s="86" t="str">
        <f>IF(G402=TRUE,H395,"")</f>
        <v/>
      </c>
      <c r="I402" s="86"/>
      <c r="J402" s="89" t="s">
        <v>877</v>
      </c>
    </row>
    <row r="403" hidden="1">
      <c r="A403" s="85" t="str">
        <f>HYPERLINK("https://github.com/pytorch/pytorch/blob/f99ab991dcd3719ee25dd3377a53ea12e518308e/test/test_numpy_interop.py#L25", "TestNumPyInterop")</f>
        <v>TestNumPyInterop</v>
      </c>
      <c r="B403" s="86" t="s">
        <v>878</v>
      </c>
      <c r="C403" s="86" t="s">
        <v>879</v>
      </c>
      <c r="D403" s="86" t="s">
        <v>15</v>
      </c>
      <c r="E403" s="87" t="s">
        <v>734</v>
      </c>
      <c r="F403" s="88" t="b">
        <f t="shared" ref="F403:G403" si="230">IF(F395=TRUE,TRUE,FALSE)</f>
        <v>0</v>
      </c>
      <c r="G403" s="88" t="b">
        <f t="shared" si="230"/>
        <v>0</v>
      </c>
      <c r="H403" s="86" t="str">
        <f>IF(G403=TRUE,H395,"")</f>
        <v/>
      </c>
      <c r="I403" s="86"/>
      <c r="J403" s="89"/>
    </row>
    <row r="404" hidden="1">
      <c r="A404" s="85" t="str">
        <f>HYPERLINK("https://github.com/pytorch/pytorch/blob/f99ab991dcd3719ee25dd3377a53ea12e518308e/test/test_pruning_op.py#L12", "PruningOpTest")</f>
        <v>PruningOpTest</v>
      </c>
      <c r="B404" s="86" t="s">
        <v>880</v>
      </c>
      <c r="C404" s="86" t="s">
        <v>881</v>
      </c>
      <c r="D404" s="86" t="s">
        <v>64</v>
      </c>
      <c r="E404" s="87" t="s">
        <v>661</v>
      </c>
      <c r="F404" s="88" t="b">
        <v>0</v>
      </c>
      <c r="G404" s="88" t="b">
        <f>IF(G395=TRUE,TRUE,FALSE)</f>
        <v>0</v>
      </c>
      <c r="H404" s="86" t="str">
        <f>IF(G404=TRUE,H395,"")</f>
        <v/>
      </c>
      <c r="I404" s="86"/>
      <c r="J404" s="89"/>
    </row>
    <row r="405" hidden="1">
      <c r="A405" s="85" t="str">
        <f>HYPERLINK("https://github.com/pytorch/pytorch/blob/f99ab991dcd3719ee25dd3377a53ea12e518308e/test/test_tensorboard.py#L60", "BaseTestCase")</f>
        <v>BaseTestCase</v>
      </c>
      <c r="B405" s="86" t="s">
        <v>882</v>
      </c>
      <c r="C405" s="86" t="s">
        <v>883</v>
      </c>
      <c r="D405" s="86" t="s">
        <v>64</v>
      </c>
      <c r="E405" s="87" t="s">
        <v>884</v>
      </c>
      <c r="F405" s="88" t="b">
        <f t="shared" ref="F405:G405" si="231">IF(F395=TRUE,TRUE,FALSE)</f>
        <v>0</v>
      </c>
      <c r="G405" s="88" t="b">
        <f t="shared" si="231"/>
        <v>0</v>
      </c>
      <c r="H405" s="86" t="str">
        <f>IF(G405=TRUE,H395,"")</f>
        <v/>
      </c>
      <c r="I405" s="86"/>
      <c r="J405" s="89"/>
    </row>
    <row r="406" hidden="1">
      <c r="A406" s="85" t="str">
        <f>HYPERLINK("https://github.com/pytorch/pytorch/blob/f99ab991dcd3719ee25dd3377a53ea12e518308e/test/test_tensorboard.py#L132", "TestTensorBoardPyTorchNumpy")</f>
        <v>TestTensorBoardPyTorchNumpy</v>
      </c>
      <c r="B406" s="86" t="s">
        <v>882</v>
      </c>
      <c r="C406" s="86" t="s">
        <v>885</v>
      </c>
      <c r="D406" s="86" t="s">
        <v>112</v>
      </c>
      <c r="E406" s="87" t="s">
        <v>886</v>
      </c>
      <c r="F406" s="88" t="b">
        <v>0</v>
      </c>
      <c r="G406" s="88" t="b">
        <f>IF(G395=TRUE,TRUE,FALSE)</f>
        <v>0</v>
      </c>
      <c r="H406" s="86" t="str">
        <f>IF(G406=TRUE,H395,"")</f>
        <v/>
      </c>
      <c r="I406" s="86"/>
      <c r="J406" s="89"/>
    </row>
    <row r="407" hidden="1">
      <c r="A407" s="85" t="str">
        <f>HYPERLINK("https://github.com/pytorch/pytorch/blob/f99ab991dcd3719ee25dd3377a53ea12e518308e/test/test_tensorboard.py#L220", "TestTensorBoardUtils")</f>
        <v>TestTensorBoardUtils</v>
      </c>
      <c r="B407" s="86" t="s">
        <v>882</v>
      </c>
      <c r="C407" s="86" t="s">
        <v>887</v>
      </c>
      <c r="D407" s="86" t="s">
        <v>64</v>
      </c>
      <c r="E407" s="87" t="s">
        <v>888</v>
      </c>
      <c r="F407" s="88" t="b">
        <v>0</v>
      </c>
      <c r="G407" s="88" t="b">
        <f>IF(G395=TRUE,TRUE,FALSE)</f>
        <v>0</v>
      </c>
      <c r="H407" s="86" t="str">
        <f>IF(G407=TRUE,H395,"")</f>
        <v/>
      </c>
      <c r="I407" s="86"/>
      <c r="J407" s="89"/>
    </row>
    <row r="408" hidden="1">
      <c r="A408" s="85" t="str">
        <f>HYPERLINK("https://github.com/pytorch/pytorch/blob/f99ab991dcd3719ee25dd3377a53ea12e518308e/test/test_tensorboard.py#L285", "TestTensorBoardWriter")</f>
        <v>TestTensorBoardWriter</v>
      </c>
      <c r="B408" s="86" t="s">
        <v>882</v>
      </c>
      <c r="C408" s="86" t="s">
        <v>889</v>
      </c>
      <c r="D408" s="86" t="s">
        <v>64</v>
      </c>
      <c r="E408" s="87" t="s">
        <v>890</v>
      </c>
      <c r="F408" s="88" t="b">
        <f t="shared" ref="F408:G408" si="232">IF(F395=TRUE,TRUE,FALSE)</f>
        <v>0</v>
      </c>
      <c r="G408" s="88" t="b">
        <f t="shared" si="232"/>
        <v>0</v>
      </c>
      <c r="H408" s="86" t="str">
        <f>IF(G408=TRUE,H395,"")</f>
        <v/>
      </c>
      <c r="I408" s="86"/>
      <c r="J408" s="89"/>
    </row>
    <row r="409" hidden="1">
      <c r="A409" s="85" t="str">
        <f>HYPERLINK("https://github.com/pytorch/pytorch/blob/f99ab991dcd3719ee25dd3377a53ea12e518308e/test/test_tensorboard.py#L351", "TestTensorBoardSummaryWriter")</f>
        <v>TestTensorBoardSummaryWriter</v>
      </c>
      <c r="B409" s="86" t="s">
        <v>882</v>
      </c>
      <c r="C409" s="86" t="s">
        <v>891</v>
      </c>
      <c r="D409" s="86" t="s">
        <v>64</v>
      </c>
      <c r="E409" s="87" t="s">
        <v>892</v>
      </c>
      <c r="F409" s="88" t="b">
        <f t="shared" ref="F409:G409" si="233">IF(F395=TRUE,TRUE,FALSE)</f>
        <v>0</v>
      </c>
      <c r="G409" s="88" t="b">
        <f t="shared" si="233"/>
        <v>0</v>
      </c>
      <c r="H409" s="86" t="str">
        <f>IF(G409=TRUE,H395,"")</f>
        <v/>
      </c>
      <c r="I409" s="86"/>
      <c r="J409" s="89"/>
    </row>
    <row r="410" hidden="1">
      <c r="A410" s="85" t="str">
        <f>HYPERLINK("https://github.com/pytorch/pytorch/blob/f99ab991dcd3719ee25dd3377a53ea12e518308e/test/test_tensorboard.py#L377", "TestTensorBoardEmbedding")</f>
        <v>TestTensorBoardEmbedding</v>
      </c>
      <c r="B410" s="86" t="s">
        <v>882</v>
      </c>
      <c r="C410" s="86" t="s">
        <v>893</v>
      </c>
      <c r="D410" s="86" t="s">
        <v>64</v>
      </c>
      <c r="E410" s="87" t="s">
        <v>894</v>
      </c>
      <c r="F410" s="88" t="b">
        <f t="shared" ref="F410:G410" si="234">IF(F395=TRUE,TRUE,FALSE)</f>
        <v>0</v>
      </c>
      <c r="G410" s="88" t="b">
        <f t="shared" si="234"/>
        <v>0</v>
      </c>
      <c r="H410" s="86" t="str">
        <f>IF(G410=TRUE,H395,"")</f>
        <v/>
      </c>
      <c r="I410" s="86"/>
      <c r="J410" s="89"/>
    </row>
    <row r="411" hidden="1">
      <c r="A411" s="85" t="str">
        <f>HYPERLINK("https://github.com/pytorch/pytorch/blob/f99ab991dcd3719ee25dd3377a53ea12e518308e/test/test_tensorboard.py#L420", "TestTensorBoardSummary")</f>
        <v>TestTensorBoardSummary</v>
      </c>
      <c r="B411" s="86" t="s">
        <v>882</v>
      </c>
      <c r="C411" s="86" t="s">
        <v>895</v>
      </c>
      <c r="D411" s="86" t="s">
        <v>64</v>
      </c>
      <c r="E411" s="87" t="s">
        <v>896</v>
      </c>
      <c r="F411" s="88" t="b">
        <f t="shared" ref="F411:G411" si="235">IF(F395=TRUE,TRUE,FALSE)</f>
        <v>0</v>
      </c>
      <c r="G411" s="88" t="b">
        <f t="shared" si="235"/>
        <v>0</v>
      </c>
      <c r="H411" s="86" t="str">
        <f>IF(G411=TRUE,H395,"")</f>
        <v/>
      </c>
      <c r="I411" s="86"/>
      <c r="J411" s="89"/>
    </row>
    <row r="412" hidden="1">
      <c r="A412" s="85" t="str">
        <f>HYPERLINK("https://github.com/pytorch/pytorch/blob/f99ab991dcd3719ee25dd3377a53ea12e518308e/test/test_tensorboard.py#L574", "TestTensorBoardPytorchGraph")</f>
        <v>TestTensorBoardPytorchGraph</v>
      </c>
      <c r="B412" s="86" t="s">
        <v>882</v>
      </c>
      <c r="C412" s="86" t="s">
        <v>897</v>
      </c>
      <c r="D412" s="86" t="s">
        <v>64</v>
      </c>
      <c r="E412" s="87" t="s">
        <v>898</v>
      </c>
      <c r="F412" s="88" t="b">
        <f t="shared" ref="F412:G412" si="236">IF(F395=TRUE,TRUE,FALSE)</f>
        <v>0</v>
      </c>
      <c r="G412" s="88" t="b">
        <f t="shared" si="236"/>
        <v>0</v>
      </c>
      <c r="H412" s="86" t="str">
        <f>IF(G412=TRUE,H395,"")</f>
        <v/>
      </c>
      <c r="I412" s="86"/>
      <c r="J412" s="89"/>
    </row>
    <row r="413" hidden="1">
      <c r="A413" s="85" t="str">
        <f>HYPERLINK("https://github.com/pytorch/pytorch/blob/f99ab991dcd3719ee25dd3377a53ea12e518308e/test/test_tensorboard.py#L741", "TestTensorBoardFigure")</f>
        <v>TestTensorBoardFigure</v>
      </c>
      <c r="B413" s="86" t="s">
        <v>882</v>
      </c>
      <c r="C413" s="86" t="s">
        <v>899</v>
      </c>
      <c r="D413" s="86" t="s">
        <v>64</v>
      </c>
      <c r="E413" s="87" t="s">
        <v>900</v>
      </c>
      <c r="F413" s="88" t="b">
        <f t="shared" ref="F413:G413" si="237">IF(F395=TRUE,TRUE,FALSE)</f>
        <v>0</v>
      </c>
      <c r="G413" s="88" t="b">
        <f t="shared" si="237"/>
        <v>0</v>
      </c>
      <c r="H413" s="86" t="str">
        <f>IF(G413=TRUE,H395,"")</f>
        <v/>
      </c>
      <c r="I413" s="86"/>
      <c r="J413" s="89"/>
    </row>
    <row r="414" hidden="1">
      <c r="A414" s="85" t="str">
        <f>HYPERLINK("https://github.com/pytorch/pytorch/blob/f99ab991dcd3719ee25dd3377a53ea12e518308e/test/test_tensorboard.py#L799", "TestTensorBoardNumpy")</f>
        <v>TestTensorBoardNumpy</v>
      </c>
      <c r="B414" s="86" t="s">
        <v>882</v>
      </c>
      <c r="C414" s="86" t="s">
        <v>901</v>
      </c>
      <c r="D414" s="86" t="s">
        <v>64</v>
      </c>
      <c r="E414" s="87" t="s">
        <v>902</v>
      </c>
      <c r="F414" s="88" t="b">
        <f t="shared" ref="F414:G414" si="238">IF(F395=TRUE,TRUE,FALSE)</f>
        <v>0</v>
      </c>
      <c r="G414" s="88" t="b">
        <f t="shared" si="238"/>
        <v>0</v>
      </c>
      <c r="H414" s="86" t="str">
        <f>IF(G414=TRUE,H395,"")</f>
        <v/>
      </c>
      <c r="I414" s="86"/>
      <c r="J414" s="89"/>
    </row>
    <row r="415" hidden="1">
      <c r="A415" s="85" t="str">
        <f>HYPERLINK("https://github.com/pytorch/pytorch/blob/f99ab991dcd3719ee25dd3377a53ea12e518308e/test/test_tensorboard.py#L818", "TestTensorProtoSummary")</f>
        <v>TestTensorProtoSummary</v>
      </c>
      <c r="B415" s="86" t="s">
        <v>882</v>
      </c>
      <c r="C415" s="86" t="s">
        <v>903</v>
      </c>
      <c r="D415" s="86" t="s">
        <v>64</v>
      </c>
      <c r="E415" s="87" t="s">
        <v>904</v>
      </c>
      <c r="F415" s="88" t="b">
        <f t="shared" ref="F415:G415" si="239">IF(F395=TRUE,TRUE,FALSE)</f>
        <v>0</v>
      </c>
      <c r="G415" s="88" t="b">
        <f t="shared" si="239"/>
        <v>0</v>
      </c>
      <c r="H415" s="86" t="str">
        <f>IF(G415=TRUE,H395,"")</f>
        <v/>
      </c>
      <c r="I415" s="86"/>
      <c r="J415" s="89"/>
    </row>
    <row r="416" hidden="1">
      <c r="A416" s="50" t="str">
        <f>HYPERLINK("https://github.com/pytorch/pytorch/blob/f99ab991dcd3719ee25dd3377a53ea12e518308e/test/test_torchfuzz_repros.py#L18", "TestFuzzerCompileIssues")</f>
        <v>TestFuzzerCompileIssues</v>
      </c>
      <c r="B416" s="51" t="s">
        <v>905</v>
      </c>
      <c r="C416" s="51" t="s">
        <v>906</v>
      </c>
      <c r="D416" s="51" t="s">
        <v>284</v>
      </c>
      <c r="E416" s="52" t="s">
        <v>907</v>
      </c>
      <c r="F416" s="53" t="s">
        <v>644</v>
      </c>
      <c r="G416" s="53" t="s">
        <v>310</v>
      </c>
      <c r="H416" s="51" t="str">
        <f>IF(G416=TRUE,H395,"")</f>
        <v/>
      </c>
      <c r="I416" s="65" t="s">
        <v>59</v>
      </c>
      <c r="J416" s="64" t="s">
        <v>908</v>
      </c>
    </row>
    <row r="417" hidden="1">
      <c r="A417" s="9" t="s">
        <v>909</v>
      </c>
      <c r="B417" s="10"/>
      <c r="C417" s="10"/>
      <c r="D417" s="10"/>
      <c r="E417" s="11"/>
      <c r="F417" s="12"/>
      <c r="G417" s="12"/>
      <c r="H417" s="12"/>
      <c r="I417" s="12"/>
      <c r="J417" s="14"/>
    </row>
    <row r="418" hidden="1">
      <c r="A418" s="15" t="s">
        <v>910</v>
      </c>
      <c r="B418" s="16"/>
      <c r="C418" s="16"/>
      <c r="D418" s="16"/>
      <c r="E418" s="17"/>
      <c r="F418" s="18" t="b">
        <v>1</v>
      </c>
      <c r="G418" s="18" t="b">
        <v>0</v>
      </c>
      <c r="H418" s="20"/>
      <c r="I418" s="20"/>
      <c r="J418" s="14"/>
    </row>
    <row r="419" hidden="1">
      <c r="A419" s="90" t="str">
        <f>HYPERLINK("https://github.com/pytorch/pytorch/blob/f99ab991dcd3719ee25dd3377a53ea12e518308e/test/test_jit.py#L355", "TestJitProfiler")</f>
        <v>TestJitProfiler</v>
      </c>
      <c r="B419" s="91" t="s">
        <v>911</v>
      </c>
      <c r="C419" s="91"/>
      <c r="D419" s="91" t="s">
        <v>912</v>
      </c>
      <c r="E419" s="92"/>
      <c r="F419" s="93" t="b">
        <v>0</v>
      </c>
      <c r="G419" s="93" t="b">
        <f>IF(G418=TRUE,TRUE,FALSE)</f>
        <v>0</v>
      </c>
      <c r="H419" s="34" t="str">
        <f>IF(G419=TRUE,H418,"")</f>
        <v/>
      </c>
      <c r="I419" s="34"/>
      <c r="J419" s="14"/>
    </row>
    <row r="420" hidden="1">
      <c r="A420" s="85" t="str">
        <f>HYPERLINK("https://github.com/pytorch/pytorch/blob/f99ab991dcd3719ee25dd3377a53ea12e518308e/test/test_jit.py#L419", "TestJit")</f>
        <v>TestJit</v>
      </c>
      <c r="B420" s="86" t="s">
        <v>911</v>
      </c>
      <c r="C420" s="86"/>
      <c r="D420" s="86" t="s">
        <v>912</v>
      </c>
      <c r="E420" s="87"/>
      <c r="F420" s="88" t="b">
        <v>0</v>
      </c>
      <c r="G420" s="88" t="b">
        <f>IF(G418=TRUE,TRUE,FALSE)</f>
        <v>0</v>
      </c>
      <c r="H420" s="34" t="str">
        <f>IF(G420=TRUE,H418,"")</f>
        <v/>
      </c>
      <c r="I420" s="34"/>
      <c r="J420" s="14"/>
    </row>
    <row r="421" hidden="1">
      <c r="A421" s="90" t="str">
        <f>HYPERLINK("https://github.com/pytorch/pytorch/blob/f99ab991dcd3719ee25dd3377a53ea12e518308e/test/test_jit.py#L2965", "TestFrontend")</f>
        <v>TestFrontend</v>
      </c>
      <c r="B421" s="91" t="s">
        <v>911</v>
      </c>
      <c r="C421" s="91"/>
      <c r="D421" s="91" t="s">
        <v>912</v>
      </c>
      <c r="E421" s="92"/>
      <c r="F421" s="93" t="b">
        <v>0</v>
      </c>
      <c r="G421" s="93" t="b">
        <f>IF(G418=TRUE,TRUE,FALSE)</f>
        <v>0</v>
      </c>
      <c r="H421" s="34" t="str">
        <f>IF(G421=TRUE,H418,"")</f>
        <v/>
      </c>
      <c r="I421" s="34"/>
      <c r="J421" s="14"/>
    </row>
    <row r="422" hidden="1">
      <c r="A422" s="85" t="str">
        <f>HYPERLINK("https://github.com/pytorch/pytorch/blob/f99ab991dcd3719ee25dd3377a53ea12e518308e/test/test_jit.py#L3021", "TestScript")</f>
        <v>TestScript</v>
      </c>
      <c r="B422" s="86" t="s">
        <v>911</v>
      </c>
      <c r="C422" s="86"/>
      <c r="D422" s="86" t="s">
        <v>912</v>
      </c>
      <c r="E422" s="87"/>
      <c r="F422" s="88" t="b">
        <v>0</v>
      </c>
      <c r="G422" s="88" t="b">
        <f>IF(G418=TRUE,TRUE,FALSE)</f>
        <v>0</v>
      </c>
      <c r="H422" s="34" t="str">
        <f>IF(G422=TRUE,H418,"")</f>
        <v/>
      </c>
      <c r="I422" s="34"/>
      <c r="J422" s="14"/>
    </row>
    <row r="423" hidden="1">
      <c r="A423" s="90" t="str">
        <f>HYPERLINK("https://github.com/pytorch/pytorch/blob/f99ab991dcd3719ee25dd3377a53ea12e518308e/test/test_jit.py#L16094", "TestJitGeneratedModule")</f>
        <v>TestJitGeneratedModule</v>
      </c>
      <c r="B423" s="91" t="s">
        <v>911</v>
      </c>
      <c r="C423" s="91"/>
      <c r="D423" s="91" t="s">
        <v>912</v>
      </c>
      <c r="E423" s="92"/>
      <c r="F423" s="93" t="b">
        <v>0</v>
      </c>
      <c r="G423" s="93" t="b">
        <f>IF(G418=TRUE,TRUE,FALSE)</f>
        <v>0</v>
      </c>
      <c r="H423" s="34" t="str">
        <f>IF(G423=TRUE,H418,"")</f>
        <v/>
      </c>
      <c r="I423" s="34"/>
      <c r="J423" s="14"/>
    </row>
    <row r="424" hidden="1">
      <c r="A424" s="85" t="str">
        <f>HYPERLINK("https://github.com/pytorch/pytorch/blob/f99ab991dcd3719ee25dd3377a53ea12e518308e/test/test_jit.py#L16098", "TestJitGeneratedFunctional")</f>
        <v>TestJitGeneratedFunctional</v>
      </c>
      <c r="B424" s="86" t="s">
        <v>911</v>
      </c>
      <c r="C424" s="86"/>
      <c r="D424" s="86" t="s">
        <v>912</v>
      </c>
      <c r="E424" s="87"/>
      <c r="F424" s="88" t="b">
        <v>0</v>
      </c>
      <c r="G424" s="88" t="b">
        <f>IF(G418=TRUE,TRUE,FALSE)</f>
        <v>0</v>
      </c>
      <c r="H424" s="34" t="str">
        <f>IF(G424=TRUE,H418,"")</f>
        <v/>
      </c>
      <c r="I424" s="34"/>
      <c r="J424" s="14"/>
    </row>
    <row r="425" hidden="1">
      <c r="A425" s="90" t="str">
        <f>HYPERLINK("https://github.com/pytorch/pytorch/blob/f99ab991dcd3719ee25dd3377a53ea12e518308e/test/test_jit.py#L16259", "TestProducerVersion")</f>
        <v>TestProducerVersion</v>
      </c>
      <c r="B425" s="91" t="s">
        <v>911</v>
      </c>
      <c r="C425" s="91"/>
      <c r="D425" s="91" t="s">
        <v>912</v>
      </c>
      <c r="E425" s="92"/>
      <c r="F425" s="93" t="b">
        <v>0</v>
      </c>
      <c r="G425" s="93" t="b">
        <f>IF(G418=TRUE,TRUE,FALSE)</f>
        <v>0</v>
      </c>
      <c r="H425" s="34" t="str">
        <f>IF(G425=TRUE,H418,"")</f>
        <v/>
      </c>
      <c r="I425" s="34"/>
      <c r="J425" s="14"/>
    </row>
    <row r="426" hidden="1">
      <c r="A426" s="85" t="str">
        <f>HYPERLINK("https://github.com/pytorch/pytorch/blob/f99ab991dcd3719ee25dd3377a53ea12e518308e/test/test_jit_autocast.py#L23", "TestAutocast")</f>
        <v>TestAutocast</v>
      </c>
      <c r="B426" s="86" t="s">
        <v>913</v>
      </c>
      <c r="C426" s="86"/>
      <c r="D426" s="86" t="s">
        <v>912</v>
      </c>
      <c r="E426" s="87"/>
      <c r="F426" s="88" t="b">
        <v>0</v>
      </c>
      <c r="G426" s="88" t="b">
        <f>IF(G418=TRUE,TRUE,FALSE)</f>
        <v>0</v>
      </c>
      <c r="H426" s="34" t="str">
        <f>IF(G426=TRUE,H418,"")</f>
        <v/>
      </c>
      <c r="I426" s="34"/>
      <c r="J426" s="14"/>
    </row>
    <row r="427" hidden="1">
      <c r="A427" s="90" t="str">
        <f>HYPERLINK("https://github.com/pytorch/pytorch/blob/f99ab991dcd3719ee25dd3377a53ea12e518308e/test/test_jit_autocast.py#L785", "TestJitTraceAutocast")</f>
        <v>TestJitTraceAutocast</v>
      </c>
      <c r="B427" s="91" t="s">
        <v>913</v>
      </c>
      <c r="C427" s="91"/>
      <c r="D427" s="91" t="s">
        <v>912</v>
      </c>
      <c r="E427" s="92"/>
      <c r="F427" s="93" t="b">
        <v>0</v>
      </c>
      <c r="G427" s="93" t="b">
        <f>IF(G418=TRUE,TRUE,FALSE)</f>
        <v>0</v>
      </c>
      <c r="H427" s="34" t="str">
        <f>IF(G427=TRUE,H418,"")</f>
        <v/>
      </c>
      <c r="I427" s="34"/>
      <c r="J427" s="14"/>
    </row>
    <row r="428" hidden="1">
      <c r="A428" s="85" t="str">
        <f>HYPERLINK("https://github.com/pytorch/pytorch/blob/f99ab991dcd3719ee25dd3377a53ea12e518308e/test/test_jit_disabled.py#L20", "TestJitDisabled")</f>
        <v>TestJitDisabled</v>
      </c>
      <c r="B428" s="86" t="s">
        <v>914</v>
      </c>
      <c r="C428" s="86"/>
      <c r="D428" s="86" t="s">
        <v>912</v>
      </c>
      <c r="E428" s="87"/>
      <c r="F428" s="88" t="b">
        <v>0</v>
      </c>
      <c r="G428" s="88" t="b">
        <f>IF(G418=TRUE,TRUE,FALSE)</f>
        <v>0</v>
      </c>
      <c r="H428" s="34" t="str">
        <f>IF(G428=TRUE,H418,"")</f>
        <v/>
      </c>
      <c r="I428" s="34"/>
      <c r="J428" s="14"/>
    </row>
    <row r="429" hidden="1">
      <c r="A429" s="90" t="str">
        <f>HYPERLINK("https://github.com/pytorch/pytorch/blob/f99ab991dcd3719ee25dd3377a53ea12e518308e/test/test_jit_string.py#L8", "TestScript")</f>
        <v>TestScript</v>
      </c>
      <c r="B429" s="91" t="s">
        <v>915</v>
      </c>
      <c r="C429" s="91"/>
      <c r="D429" s="91" t="s">
        <v>912</v>
      </c>
      <c r="E429" s="92"/>
      <c r="F429" s="93" t="b">
        <v>0</v>
      </c>
      <c r="G429" s="93" t="b">
        <f>IF(G418=TRUE,TRUE,FALSE)</f>
        <v>0</v>
      </c>
      <c r="H429" s="34" t="str">
        <f>IF(G429=TRUE,H418,"")</f>
        <v/>
      </c>
      <c r="I429" s="34"/>
      <c r="J429" s="14"/>
    </row>
    <row r="430" hidden="1">
      <c r="A430" s="15" t="s">
        <v>916</v>
      </c>
      <c r="B430" s="16"/>
      <c r="C430" s="16"/>
      <c r="D430" s="16"/>
      <c r="E430" s="17"/>
      <c r="F430" s="18" t="b">
        <v>1</v>
      </c>
      <c r="G430" s="18" t="b">
        <v>0</v>
      </c>
      <c r="H430" s="20"/>
      <c r="I430" s="20"/>
      <c r="J430" s="14"/>
    </row>
    <row r="431" hidden="1">
      <c r="A431" s="85" t="str">
        <f>HYPERLINK("https://github.com/pytorch/pytorch/blob/f99ab991dcd3719ee25dd3377a53ea12e518308e/test/test_jit_fuser.py#L49", "TestFuser")</f>
        <v>TestFuser</v>
      </c>
      <c r="B431" s="86" t="s">
        <v>917</v>
      </c>
      <c r="C431" s="86"/>
      <c r="D431" s="86" t="s">
        <v>912</v>
      </c>
      <c r="E431" s="87"/>
      <c r="F431" s="88" t="b">
        <v>0</v>
      </c>
      <c r="G431" s="88" t="b">
        <f>IF(G430=TRUE,TRUE,FALSE)</f>
        <v>0</v>
      </c>
      <c r="H431" s="34" t="str">
        <f>IF(G431=TRUE,H430,"")</f>
        <v/>
      </c>
      <c r="I431" s="34"/>
      <c r="J431" s="14"/>
    </row>
    <row r="432" hidden="1">
      <c r="A432" s="90" t="str">
        <f>HYPERLINK("https://github.com/pytorch/pytorch/blob/f99ab991dcd3719ee25dd3377a53ea12e518308e/test/test_jit_fuser_te.py#L132", "TestTEFuser")</f>
        <v>TestTEFuser</v>
      </c>
      <c r="B432" s="91" t="s">
        <v>918</v>
      </c>
      <c r="C432" s="91"/>
      <c r="D432" s="91" t="s">
        <v>912</v>
      </c>
      <c r="E432" s="92"/>
      <c r="F432" s="93" t="b">
        <v>0</v>
      </c>
      <c r="G432" s="93" t="b">
        <f>IF(G430=TRUE,TRUE,FALSE)</f>
        <v>0</v>
      </c>
      <c r="H432" s="34" t="str">
        <f>IF(G432=TRUE,H430,"")</f>
        <v/>
      </c>
      <c r="I432" s="34"/>
      <c r="J432" s="14"/>
    </row>
    <row r="433" hidden="1">
      <c r="A433" s="85" t="str">
        <f>HYPERLINK("https://github.com/pytorch/pytorch/blob/f99ab991dcd3719ee25dd3377a53ea12e518308e/test/test_jit_fuser_te.py#L2701", "TestTEFuserStatic")</f>
        <v>TestTEFuserStatic</v>
      </c>
      <c r="B433" s="86" t="s">
        <v>918</v>
      </c>
      <c r="C433" s="86"/>
      <c r="D433" s="86" t="s">
        <v>912</v>
      </c>
      <c r="E433" s="87"/>
      <c r="F433" s="88" t="b">
        <v>0</v>
      </c>
      <c r="G433" s="88" t="b">
        <f>IF(G430=TRUE,TRUE,FALSE)</f>
        <v>0</v>
      </c>
      <c r="H433" s="34" t="str">
        <f>IF(G433=TRUE,H430,"")</f>
        <v/>
      </c>
      <c r="I433" s="34"/>
      <c r="J433" s="14"/>
    </row>
    <row r="434" hidden="1">
      <c r="A434" s="90" t="str">
        <f>HYPERLINK("https://github.com/pytorch/pytorch/blob/f99ab991dcd3719ee25dd3377a53ea12e518308e/test/test_jit_fuser_te.py#L2705", "TestTEFuserDynamic")</f>
        <v>TestTEFuserDynamic</v>
      </c>
      <c r="B434" s="91" t="s">
        <v>918</v>
      </c>
      <c r="C434" s="91"/>
      <c r="D434" s="91" t="s">
        <v>912</v>
      </c>
      <c r="E434" s="92"/>
      <c r="F434" s="93" t="b">
        <v>0</v>
      </c>
      <c r="G434" s="93" t="b">
        <f>IF(G430=TRUE,TRUE,FALSE)</f>
        <v>0</v>
      </c>
      <c r="H434" s="34" t="str">
        <f>IF(G434=TRUE,H430,"")</f>
        <v/>
      </c>
      <c r="I434" s="34"/>
      <c r="J434" s="14"/>
    </row>
    <row r="435" hidden="1">
      <c r="A435" s="85" t="str">
        <f>HYPERLINK("https://github.com/pytorch/pytorch/blob/f99ab991dcd3719ee25dd3377a53ea12e518308e/test/test_jit_fuser_te.py#L2843", "TestNNCOpInfoParent")</f>
        <v>TestNNCOpInfoParent</v>
      </c>
      <c r="B435" s="86" t="s">
        <v>918</v>
      </c>
      <c r="C435" s="86"/>
      <c r="D435" s="86" t="s">
        <v>912</v>
      </c>
      <c r="E435" s="87"/>
      <c r="F435" s="88" t="b">
        <v>0</v>
      </c>
      <c r="G435" s="88" t="b">
        <f>IF(G430=TRUE,TRUE,FALSE)</f>
        <v>0</v>
      </c>
      <c r="H435" s="34" t="str">
        <f>IF(G435=TRUE,H430,"")</f>
        <v/>
      </c>
      <c r="I435" s="34"/>
      <c r="J435" s="14"/>
    </row>
    <row r="436" hidden="1">
      <c r="A436" s="90" t="str">
        <f>HYPERLINK("https://github.com/pytorch/pytorch/blob/f99ab991dcd3719ee25dd3377a53ea12e518308e/test/test_jit_fuser_te.py#L2847", "TestNNCOpInfo")</f>
        <v>TestNNCOpInfo</v>
      </c>
      <c r="B436" s="91" t="s">
        <v>918</v>
      </c>
      <c r="C436" s="91"/>
      <c r="D436" s="91" t="s">
        <v>912</v>
      </c>
      <c r="E436" s="92"/>
      <c r="F436" s="93" t="b">
        <v>0</v>
      </c>
      <c r="G436" s="93" t="b">
        <f>IF(G430=TRUE,TRUE,FALSE)</f>
        <v>0</v>
      </c>
      <c r="H436" s="34" t="str">
        <f>IF(G436=TRUE,H430,"")</f>
        <v/>
      </c>
      <c r="I436" s="34"/>
      <c r="J436" s="14"/>
    </row>
    <row r="437" hidden="1">
      <c r="A437" s="85" t="str">
        <f>HYPERLINK("https://github.com/pytorch/pytorch/blob/f99ab991dcd3719ee25dd3377a53ea12e518308e/test/test_jit_fuser_te.py#L2983", "TestLoopnestRandomizationParent")</f>
        <v>TestLoopnestRandomizationParent</v>
      </c>
      <c r="B437" s="86" t="s">
        <v>918</v>
      </c>
      <c r="C437" s="86"/>
      <c r="D437" s="86" t="s">
        <v>912</v>
      </c>
      <c r="E437" s="87"/>
      <c r="F437" s="88" t="b">
        <v>0</v>
      </c>
      <c r="G437" s="88" t="b">
        <f>IF(G430=TRUE,TRUE,FALSE)</f>
        <v>0</v>
      </c>
      <c r="H437" s="34" t="str">
        <f>IF(G437=TRUE,H430,"")</f>
        <v/>
      </c>
      <c r="I437" s="34"/>
      <c r="J437" s="14"/>
    </row>
    <row r="438" hidden="1">
      <c r="A438" s="90" t="str">
        <f>HYPERLINK("https://github.com/pytorch/pytorch/blob/f99ab991dcd3719ee25dd3377a53ea12e518308e/test/test_jit_fuser_te.py#L2987", "TestLoopnestRandomization")</f>
        <v>TestLoopnestRandomization</v>
      </c>
      <c r="B438" s="91" t="s">
        <v>918</v>
      </c>
      <c r="C438" s="91"/>
      <c r="D438" s="91" t="s">
        <v>912</v>
      </c>
      <c r="E438" s="92"/>
      <c r="F438" s="93" t="b">
        <v>0</v>
      </c>
      <c r="G438" s="93" t="b">
        <f>IF(G430=TRUE,TRUE,FALSE)</f>
        <v>0</v>
      </c>
      <c r="H438" s="34" t="str">
        <f>IF(G438=TRUE,H430,"")</f>
        <v/>
      </c>
      <c r="I438" s="34"/>
      <c r="J438" s="14"/>
    </row>
    <row r="439" hidden="1">
      <c r="A439" s="85" t="str">
        <f>HYPERLINK("https://github.com/pytorch/pytorch/blob/f99ab991dcd3719ee25dd3377a53ea12e518308e/test/test_jit_llga_fuser.py#L52", "JitLlgaTestCase")</f>
        <v>JitLlgaTestCase</v>
      </c>
      <c r="B439" s="86" t="s">
        <v>919</v>
      </c>
      <c r="C439" s="86"/>
      <c r="D439" s="86" t="s">
        <v>912</v>
      </c>
      <c r="E439" s="87"/>
      <c r="F439" s="88" t="b">
        <v>0</v>
      </c>
      <c r="G439" s="88" t="b">
        <f>IF(G430=TRUE,TRUE,FALSE)</f>
        <v>0</v>
      </c>
      <c r="H439" s="34" t="str">
        <f>IF(G439=TRUE,H430,"")</f>
        <v/>
      </c>
      <c r="I439" s="34"/>
      <c r="J439" s="14"/>
    </row>
    <row r="440" hidden="1">
      <c r="A440" s="90" t="str">
        <f>HYPERLINK("https://github.com/pytorch/pytorch/blob/f99ab991dcd3719ee25dd3377a53ea12e518308e/test/test_jit_llga_fuser.py#L136", "TestOp")</f>
        <v>TestOp</v>
      </c>
      <c r="B440" s="91" t="s">
        <v>919</v>
      </c>
      <c r="C440" s="91"/>
      <c r="D440" s="91" t="s">
        <v>912</v>
      </c>
      <c r="E440" s="92"/>
      <c r="F440" s="93" t="b">
        <v>0</v>
      </c>
      <c r="G440" s="93" t="b">
        <f>IF(G430=TRUE,TRUE,FALSE)</f>
        <v>0</v>
      </c>
      <c r="H440" s="34" t="str">
        <f>IF(G440=TRUE,H430,"")</f>
        <v/>
      </c>
      <c r="I440" s="34"/>
      <c r="J440" s="14"/>
    </row>
    <row r="441" hidden="1">
      <c r="A441" s="85" t="str">
        <f>HYPERLINK("https://github.com/pytorch/pytorch/blob/f99ab991dcd3719ee25dd3377a53ea12e518308e/test/test_jit_llga_fuser.py#L382", "TestFusionPattern")</f>
        <v>TestFusionPattern</v>
      </c>
      <c r="B441" s="86" t="s">
        <v>919</v>
      </c>
      <c r="C441" s="86"/>
      <c r="D441" s="86" t="s">
        <v>912</v>
      </c>
      <c r="E441" s="87"/>
      <c r="F441" s="88" t="b">
        <v>0</v>
      </c>
      <c r="G441" s="88" t="b">
        <f>IF(G430=TRUE,TRUE,FALSE)</f>
        <v>0</v>
      </c>
      <c r="H441" s="34" t="str">
        <f>IF(G441=TRUE,H430,"")</f>
        <v/>
      </c>
      <c r="I441" s="34"/>
      <c r="J441" s="14"/>
    </row>
    <row r="442" hidden="1">
      <c r="A442" s="90" t="str">
        <f>HYPERLINK("https://github.com/pytorch/pytorch/blob/f99ab991dcd3719ee25dd3377a53ea12e518308e/test/test_jit_llga_fuser.py#L728", "TestEnableDisableLlgaFuser")</f>
        <v>TestEnableDisableLlgaFuser</v>
      </c>
      <c r="B442" s="91" t="s">
        <v>919</v>
      </c>
      <c r="C442" s="91"/>
      <c r="D442" s="91" t="s">
        <v>912</v>
      </c>
      <c r="E442" s="92"/>
      <c r="F442" s="93" t="b">
        <v>0</v>
      </c>
      <c r="G442" s="93" t="b">
        <f>IF(G430=TRUE,TRUE,FALSE)</f>
        <v>0</v>
      </c>
      <c r="H442" s="34" t="str">
        <f>IF(G442=TRUE,H430,"")</f>
        <v/>
      </c>
      <c r="I442" s="34"/>
      <c r="J442" s="14"/>
    </row>
    <row r="443" hidden="1">
      <c r="A443" s="85" t="str">
        <f>HYPERLINK("https://github.com/pytorch/pytorch/blob/f99ab991dcd3719ee25dd3377a53ea12e518308e/test/test_jit_llga_fuser.py#L773", "TestDynamoAOT")</f>
        <v>TestDynamoAOT</v>
      </c>
      <c r="B443" s="86" t="s">
        <v>919</v>
      </c>
      <c r="C443" s="86"/>
      <c r="D443" s="86" t="s">
        <v>912</v>
      </c>
      <c r="E443" s="87"/>
      <c r="F443" s="88" t="b">
        <v>0</v>
      </c>
      <c r="G443" s="88" t="b">
        <f>IF(G430=TRUE,TRUE,FALSE)</f>
        <v>0</v>
      </c>
      <c r="H443" s="34" t="str">
        <f>IF(G443=TRUE,H430,"")</f>
        <v/>
      </c>
      <c r="I443" s="34"/>
      <c r="J443" s="14"/>
    </row>
    <row r="444" hidden="1">
      <c r="A444" s="90" t="str">
        <f>HYPERLINK("https://github.com/pytorch/pytorch/blob/f99ab991dcd3719ee25dd3377a53ea12e518308e/test/test_jit_llga_fuser.py#L803", "TestModel")</f>
        <v>TestModel</v>
      </c>
      <c r="B444" s="91" t="s">
        <v>919</v>
      </c>
      <c r="C444" s="91"/>
      <c r="D444" s="91" t="s">
        <v>912</v>
      </c>
      <c r="E444" s="92"/>
      <c r="F444" s="93" t="b">
        <v>0</v>
      </c>
      <c r="G444" s="93" t="b">
        <f>IF(G430=TRUE,TRUE,FALSE)</f>
        <v>0</v>
      </c>
      <c r="H444" s="34" t="str">
        <f>IF(G444=TRUE,H430,"")</f>
        <v/>
      </c>
      <c r="I444" s="34"/>
      <c r="J444" s="14"/>
    </row>
    <row r="445" hidden="1">
      <c r="A445" s="15" t="s">
        <v>920</v>
      </c>
      <c r="B445" s="16"/>
      <c r="C445" s="16"/>
      <c r="D445" s="16"/>
      <c r="E445" s="17"/>
      <c r="F445" s="18" t="b">
        <v>1</v>
      </c>
      <c r="G445" s="18" t="b">
        <v>0</v>
      </c>
      <c r="H445" s="20"/>
      <c r="I445" s="20"/>
      <c r="J445" s="14"/>
    </row>
    <row r="446" hidden="1">
      <c r="A446" s="85" t="str">
        <f>HYPERLINK("https://github.com/pytorch/pytorch/blob/f99ab991dcd3719ee25dd3377a53ea12e518308e/test/jit/fixtures_srcs/test_upgrader_models_generation.py#L8", "TestUpgraderModelGeneration")</f>
        <v>TestUpgraderModelGeneration</v>
      </c>
      <c r="B446" s="86" t="s">
        <v>921</v>
      </c>
      <c r="C446" s="86"/>
      <c r="D446" s="86" t="s">
        <v>912</v>
      </c>
      <c r="E446" s="87"/>
      <c r="F446" s="88" t="b">
        <v>0</v>
      </c>
      <c r="G446" s="88" t="b">
        <f>IF(G445=TRUE,TRUE,FALSE)</f>
        <v>0</v>
      </c>
      <c r="H446" s="34" t="str">
        <f>IF(G446=TRUE,H445,"")</f>
        <v/>
      </c>
      <c r="I446" s="34"/>
      <c r="J446" s="14"/>
    </row>
    <row r="447" hidden="1">
      <c r="A447" s="90" t="str">
        <f>HYPERLINK("https://github.com/pytorch/pytorch/blob/f99ab991dcd3719ee25dd3377a53ea12e518308e/test/jit/test_alias_analysis.py#L12", "TestAliasAnalysis")</f>
        <v>TestAliasAnalysis</v>
      </c>
      <c r="B447" s="91" t="s">
        <v>922</v>
      </c>
      <c r="C447" s="91"/>
      <c r="D447" s="91" t="s">
        <v>912</v>
      </c>
      <c r="E447" s="92"/>
      <c r="F447" s="93" t="b">
        <v>0</v>
      </c>
      <c r="G447" s="93" t="b">
        <f>IF(G445=TRUE,TRUE,FALSE)</f>
        <v>0</v>
      </c>
      <c r="H447" s="34" t="str">
        <f>IF(G447=TRUE,H445,"")</f>
        <v/>
      </c>
      <c r="I447" s="34"/>
      <c r="J447" s="14"/>
    </row>
    <row r="448" hidden="1">
      <c r="A448" s="85" t="str">
        <f>HYPERLINK("https://github.com/pytorch/pytorch/blob/f99ab991dcd3719ee25dd3377a53ea12e518308e/test/jit/test_async.py#L23", "TestAsync")</f>
        <v>TestAsync</v>
      </c>
      <c r="B448" s="86" t="s">
        <v>923</v>
      </c>
      <c r="C448" s="86"/>
      <c r="D448" s="86" t="s">
        <v>912</v>
      </c>
      <c r="E448" s="87"/>
      <c r="F448" s="88" t="b">
        <v>0</v>
      </c>
      <c r="G448" s="88" t="b">
        <f>IF(G445=TRUE,TRUE,FALSE)</f>
        <v>0</v>
      </c>
      <c r="H448" s="34" t="str">
        <f>IF(G448=TRUE,H445,"")</f>
        <v/>
      </c>
      <c r="I448" s="34"/>
      <c r="J448" s="14"/>
    </row>
    <row r="449" hidden="1">
      <c r="A449" s="90" t="str">
        <f>HYPERLINK("https://github.com/pytorch/pytorch/blob/f99ab991dcd3719ee25dd3377a53ea12e518308e/test/jit/test_aten_pow.py#L7", "TestAtenPow")</f>
        <v>TestAtenPow</v>
      </c>
      <c r="B449" s="91" t="s">
        <v>924</v>
      </c>
      <c r="C449" s="91"/>
      <c r="D449" s="91" t="s">
        <v>912</v>
      </c>
      <c r="E449" s="92"/>
      <c r="F449" s="93" t="b">
        <v>0</v>
      </c>
      <c r="G449" s="93" t="b">
        <f>IF(G445=TRUE,TRUE,FALSE)</f>
        <v>0</v>
      </c>
      <c r="H449" s="34" t="str">
        <f>IF(G449=TRUE,H445,"")</f>
        <v/>
      </c>
      <c r="I449" s="34"/>
      <c r="J449" s="14"/>
    </row>
    <row r="450" hidden="1">
      <c r="A450" s="85" t="str">
        <f>HYPERLINK("https://github.com/pytorch/pytorch/blob/f99ab991dcd3719ee25dd3377a53ea12e518308e/test/jit/test_attr.py#L11", "TestGetDefaultAttr")</f>
        <v>TestGetDefaultAttr</v>
      </c>
      <c r="B450" s="86" t="s">
        <v>925</v>
      </c>
      <c r="C450" s="86"/>
      <c r="D450" s="86" t="s">
        <v>912</v>
      </c>
      <c r="E450" s="87"/>
      <c r="F450" s="88" t="b">
        <v>0</v>
      </c>
      <c r="G450" s="88" t="b">
        <f>IF(G445=TRUE,TRUE,FALSE)</f>
        <v>0</v>
      </c>
      <c r="H450" s="34" t="str">
        <f>IF(G450=TRUE,H445,"")</f>
        <v/>
      </c>
      <c r="I450" s="34"/>
      <c r="J450" s="14"/>
    </row>
    <row r="451" hidden="1">
      <c r="A451" s="90" t="str">
        <f>HYPERLINK("https://github.com/pytorch/pytorch/blob/f99ab991dcd3719ee25dd3377a53ea12e518308e/test/jit/test_autodiff.py#L15", "TestAutodiffJit")</f>
        <v>TestAutodiffJit</v>
      </c>
      <c r="B451" s="91" t="s">
        <v>926</v>
      </c>
      <c r="C451" s="91"/>
      <c r="D451" s="91" t="s">
        <v>912</v>
      </c>
      <c r="E451" s="92"/>
      <c r="F451" s="93" t="b">
        <v>0</v>
      </c>
      <c r="G451" s="93" t="b">
        <f>IF(G445=TRUE,TRUE,FALSE)</f>
        <v>0</v>
      </c>
      <c r="H451" s="34" t="str">
        <f>IF(G451=TRUE,H445,"")</f>
        <v/>
      </c>
      <c r="I451" s="34"/>
      <c r="J451" s="14"/>
    </row>
    <row r="452" hidden="1">
      <c r="A452" s="85" t="str">
        <f>HYPERLINK("https://github.com/pytorch/pytorch/blob/f99ab991dcd3719ee25dd3377a53ea12e518308e/test/jit/test_autodiff_subgraph_slicing.py#L36", "TestAutodiffSubgraphSlicing")</f>
        <v>TestAutodiffSubgraphSlicing</v>
      </c>
      <c r="B452" s="86" t="s">
        <v>927</v>
      </c>
      <c r="C452" s="86"/>
      <c r="D452" s="86" t="s">
        <v>912</v>
      </c>
      <c r="E452" s="87"/>
      <c r="F452" s="88" t="b">
        <v>0</v>
      </c>
      <c r="G452" s="88" t="b">
        <f>IF(G445=TRUE,TRUE,FALSE)</f>
        <v>0</v>
      </c>
      <c r="H452" s="34" t="str">
        <f>IF(G452=TRUE,H445,"")</f>
        <v/>
      </c>
      <c r="I452" s="34"/>
      <c r="J452" s="14"/>
    </row>
    <row r="453" hidden="1">
      <c r="A453" s="90" t="str">
        <f>HYPERLINK("https://github.com/pytorch/pytorch/blob/f99ab991dcd3719ee25dd3377a53ea12e518308e/test/jit/test_await.py#L13", "TestAwait")</f>
        <v>TestAwait</v>
      </c>
      <c r="B453" s="91" t="s">
        <v>928</v>
      </c>
      <c r="C453" s="91"/>
      <c r="D453" s="91" t="s">
        <v>912</v>
      </c>
      <c r="E453" s="92"/>
      <c r="F453" s="93" t="b">
        <v>0</v>
      </c>
      <c r="G453" s="93" t="b">
        <f>IF(G445=TRUE,TRUE,FALSE)</f>
        <v>0</v>
      </c>
      <c r="H453" s="34" t="str">
        <f>IF(G453=TRUE,H445,"")</f>
        <v/>
      </c>
      <c r="I453" s="34"/>
      <c r="J453" s="14"/>
    </row>
    <row r="454" hidden="1">
      <c r="A454" s="85" t="str">
        <f>HYPERLINK("https://github.com/pytorch/pytorch/blob/f99ab991dcd3719ee25dd3377a53ea12e518308e/test/jit/test_backend_nnapi.py#L51", "TestNnapiBackend")</f>
        <v>TestNnapiBackend</v>
      </c>
      <c r="B454" s="86" t="s">
        <v>929</v>
      </c>
      <c r="C454" s="86"/>
      <c r="D454" s="86" t="s">
        <v>912</v>
      </c>
      <c r="E454" s="87"/>
      <c r="F454" s="88" t="b">
        <v>0</v>
      </c>
      <c r="G454" s="88" t="b">
        <f>IF(G445=TRUE,TRUE,FALSE)</f>
        <v>0</v>
      </c>
      <c r="H454" s="34" t="str">
        <f>IF(G454=TRUE,H445,"")</f>
        <v/>
      </c>
      <c r="I454" s="34"/>
      <c r="J454" s="14"/>
    </row>
    <row r="455" hidden="1">
      <c r="A455" s="90" t="str">
        <f>HYPERLINK("https://github.com/pytorch/pytorch/blob/f99ab991dcd3719ee25dd3377a53ea12e518308e/test/jit/test_backends.py#L65", "JitBackendTestCase")</f>
        <v>JitBackendTestCase</v>
      </c>
      <c r="B455" s="91" t="s">
        <v>930</v>
      </c>
      <c r="C455" s="91"/>
      <c r="D455" s="91" t="s">
        <v>912</v>
      </c>
      <c r="E455" s="92"/>
      <c r="F455" s="93" t="b">
        <v>0</v>
      </c>
      <c r="G455" s="93" t="b">
        <f>IF(G445=TRUE,TRUE,FALSE)</f>
        <v>0</v>
      </c>
      <c r="H455" s="34" t="str">
        <f>IF(G455=TRUE,H445,"")</f>
        <v/>
      </c>
      <c r="I455" s="34"/>
      <c r="J455" s="14"/>
    </row>
    <row r="456" hidden="1">
      <c r="A456" s="85" t="str">
        <f>HYPERLINK("https://github.com/pytorch/pytorch/blob/f99ab991dcd3719ee25dd3377a53ea12e518308e/test/jit/test_backends.py#L121", "BasicModuleTest")</f>
        <v>BasicModuleTest</v>
      </c>
      <c r="B456" s="86" t="s">
        <v>930</v>
      </c>
      <c r="C456" s="86"/>
      <c r="D456" s="86" t="s">
        <v>912</v>
      </c>
      <c r="E456" s="87"/>
      <c r="F456" s="88" t="b">
        <v>0</v>
      </c>
      <c r="G456" s="88" t="b">
        <f>IF(G445=TRUE,TRUE,FALSE)</f>
        <v>0</v>
      </c>
      <c r="H456" s="34" t="str">
        <f>IF(G456=TRUE,H445,"")</f>
        <v/>
      </c>
      <c r="I456" s="34"/>
      <c r="J456" s="14"/>
    </row>
    <row r="457" hidden="1">
      <c r="A457" s="90" t="str">
        <f>HYPERLINK("https://github.com/pytorch/pytorch/blob/f99ab991dcd3719ee25dd3377a53ea12e518308e/test/jit/test_backends.py#L169", "BasicModuleUnavailableTest")</f>
        <v>BasicModuleUnavailableTest</v>
      </c>
      <c r="B457" s="91" t="s">
        <v>930</v>
      </c>
      <c r="C457" s="91"/>
      <c r="D457" s="91" t="s">
        <v>912</v>
      </c>
      <c r="E457" s="92"/>
      <c r="F457" s="93" t="b">
        <v>0</v>
      </c>
      <c r="G457" s="93" t="b">
        <f>IF(G445=TRUE,TRUE,FALSE)</f>
        <v>0</v>
      </c>
      <c r="H457" s="34" t="str">
        <f>IF(G457=TRUE,H445,"")</f>
        <v/>
      </c>
      <c r="I457" s="34"/>
      <c r="J457" s="14"/>
    </row>
    <row r="458" hidden="1">
      <c r="A458" s="85" t="str">
        <f>HYPERLINK("https://github.com/pytorch/pytorch/blob/f99ab991dcd3719ee25dd3377a53ea12e518308e/test/jit/test_backends.py#L216", "NestedModuleTest")</f>
        <v>NestedModuleTest</v>
      </c>
      <c r="B458" s="86" t="s">
        <v>930</v>
      </c>
      <c r="C458" s="86"/>
      <c r="D458" s="86" t="s">
        <v>912</v>
      </c>
      <c r="E458" s="87"/>
      <c r="F458" s="88" t="b">
        <v>0</v>
      </c>
      <c r="G458" s="88" t="b">
        <f>IF(G445=TRUE,TRUE,FALSE)</f>
        <v>0</v>
      </c>
      <c r="H458" s="34" t="str">
        <f>IF(G458=TRUE,H445,"")</f>
        <v/>
      </c>
      <c r="I458" s="34"/>
      <c r="J458" s="14"/>
    </row>
    <row r="459" hidden="1">
      <c r="A459" s="90" t="str">
        <f>HYPERLINK("https://github.com/pytorch/pytorch/blob/f99ab991dcd3719ee25dd3377a53ea12e518308e/test/jit/test_backends.py#L274", "SelectiveLoweringTest")</f>
        <v>SelectiveLoweringTest</v>
      </c>
      <c r="B459" s="91" t="s">
        <v>930</v>
      </c>
      <c r="C459" s="91"/>
      <c r="D459" s="91" t="s">
        <v>912</v>
      </c>
      <c r="E459" s="92"/>
      <c r="F459" s="93" t="b">
        <v>0</v>
      </c>
      <c r="G459" s="93" t="b">
        <f>IF(G445=TRUE,TRUE,FALSE)</f>
        <v>0</v>
      </c>
      <c r="H459" s="34" t="str">
        <f>IF(G459=TRUE,H445,"")</f>
        <v/>
      </c>
      <c r="I459" s="34"/>
      <c r="J459" s="14"/>
    </row>
    <row r="460" hidden="1">
      <c r="A460" s="85" t="str">
        <f>HYPERLINK("https://github.com/pytorch/pytorch/blob/f99ab991dcd3719ee25dd3377a53ea12e518308e/test/jit/test_backends.py#L449", "TestBackends")</f>
        <v>TestBackends</v>
      </c>
      <c r="B460" s="86" t="s">
        <v>930</v>
      </c>
      <c r="C460" s="86"/>
      <c r="D460" s="86" t="s">
        <v>912</v>
      </c>
      <c r="E460" s="87"/>
      <c r="F460" s="88" t="b">
        <v>0</v>
      </c>
      <c r="G460" s="88" t="b">
        <f>IF(G445=TRUE,TRUE,FALSE)</f>
        <v>0</v>
      </c>
      <c r="H460" s="34" t="str">
        <f>IF(G460=TRUE,H445,"")</f>
        <v/>
      </c>
      <c r="I460" s="34"/>
      <c r="J460" s="14"/>
    </row>
    <row r="461" hidden="1">
      <c r="A461" s="90" t="str">
        <f>HYPERLINK("https://github.com/pytorch/pytorch/blob/f99ab991dcd3719ee25dd3377a53ea12e518308e/test/jit/test_backends.py#L508", "JitBackendTestCaseWithCompiler")</f>
        <v>JitBackendTestCaseWithCompiler</v>
      </c>
      <c r="B461" s="91" t="s">
        <v>930</v>
      </c>
      <c r="C461" s="91"/>
      <c r="D461" s="91" t="s">
        <v>912</v>
      </c>
      <c r="E461" s="92"/>
      <c r="F461" s="93" t="b">
        <v>0</v>
      </c>
      <c r="G461" s="93" t="b">
        <f>IF(G445=TRUE,TRUE,FALSE)</f>
        <v>0</v>
      </c>
      <c r="H461" s="34" t="str">
        <f>IF(G461=TRUE,H445,"")</f>
        <v/>
      </c>
      <c r="I461" s="34"/>
      <c r="J461" s="14"/>
    </row>
    <row r="462" hidden="1">
      <c r="A462" s="85" t="str">
        <f>HYPERLINK("https://github.com/pytorch/pytorch/blob/f99ab991dcd3719ee25dd3377a53ea12e518308e/test/jit/test_backends.py#L552", "BasicModuleTestWithCompiler")</f>
        <v>BasicModuleTestWithCompiler</v>
      </c>
      <c r="B462" s="86" t="s">
        <v>930</v>
      </c>
      <c r="C462" s="86"/>
      <c r="D462" s="86" t="s">
        <v>912</v>
      </c>
      <c r="E462" s="87"/>
      <c r="F462" s="88" t="b">
        <v>0</v>
      </c>
      <c r="G462" s="88" t="b">
        <f>IF(G445=TRUE,TRUE,FALSE)</f>
        <v>0</v>
      </c>
      <c r="H462" s="34" t="str">
        <f>IF(G462=TRUE,H445,"")</f>
        <v/>
      </c>
      <c r="I462" s="34"/>
      <c r="J462" s="14"/>
    </row>
    <row r="463" hidden="1">
      <c r="A463" s="90" t="str">
        <f>HYPERLINK("https://github.com/pytorch/pytorch/blob/f99ab991dcd3719ee25dd3377a53ea12e518308e/test/jit/test_backends.py#L618", "CompModuleTestWithCompiler")</f>
        <v>CompModuleTestWithCompiler</v>
      </c>
      <c r="B463" s="91" t="s">
        <v>930</v>
      </c>
      <c r="C463" s="91"/>
      <c r="D463" s="91" t="s">
        <v>912</v>
      </c>
      <c r="E463" s="92"/>
      <c r="F463" s="93" t="b">
        <v>0</v>
      </c>
      <c r="G463" s="93" t="b">
        <f>IF(G445=TRUE,TRUE,FALSE)</f>
        <v>0</v>
      </c>
      <c r="H463" s="34" t="str">
        <f>IF(G463=TRUE,H445,"")</f>
        <v/>
      </c>
      <c r="I463" s="34"/>
      <c r="J463" s="14"/>
    </row>
    <row r="464" hidden="1">
      <c r="A464" s="85" t="str">
        <f>HYPERLINK("https://github.com/pytorch/pytorch/blob/f99ab991dcd3719ee25dd3377a53ea12e518308e/test/jit/test_backends.py#L691", "TestBackendsWithCompiler")</f>
        <v>TestBackendsWithCompiler</v>
      </c>
      <c r="B464" s="86" t="s">
        <v>930</v>
      </c>
      <c r="C464" s="86"/>
      <c r="D464" s="86" t="s">
        <v>912</v>
      </c>
      <c r="E464" s="87"/>
      <c r="F464" s="88" t="b">
        <v>0</v>
      </c>
      <c r="G464" s="88" t="b">
        <f>IF(G445=TRUE,TRUE,FALSE)</f>
        <v>0</v>
      </c>
      <c r="H464" s="34" t="str">
        <f>IF(G464=TRUE,H445,"")</f>
        <v/>
      </c>
      <c r="I464" s="34"/>
      <c r="J464" s="14"/>
    </row>
    <row r="465" hidden="1">
      <c r="A465" s="90" t="str">
        <f>HYPERLINK("https://github.com/pytorch/pytorch/blob/f99ab991dcd3719ee25dd3377a53ea12e518308e/test/jit/test_backends.py#L717", "CompModuleTestSameNameWithCompiler")</f>
        <v>CompModuleTestSameNameWithCompiler</v>
      </c>
      <c r="B465" s="91" t="s">
        <v>930</v>
      </c>
      <c r="C465" s="91"/>
      <c r="D465" s="91" t="s">
        <v>912</v>
      </c>
      <c r="E465" s="92"/>
      <c r="F465" s="93" t="b">
        <v>0</v>
      </c>
      <c r="G465" s="93" t="b">
        <f>IF(G445=TRUE,TRUE,FALSE)</f>
        <v>0</v>
      </c>
      <c r="H465" s="34" t="str">
        <f>IF(G465=TRUE,H445,"")</f>
        <v/>
      </c>
      <c r="I465" s="34"/>
      <c r="J465" s="14"/>
    </row>
    <row r="466" hidden="1">
      <c r="A466" s="85" t="str">
        <f>HYPERLINK("https://github.com/pytorch/pytorch/blob/f99ab991dcd3719ee25dd3377a53ea12e518308e/test/jit/test_backends.py#L776", "AddedAttributesTest")</f>
        <v>AddedAttributesTest</v>
      </c>
      <c r="B466" s="86" t="s">
        <v>930</v>
      </c>
      <c r="C466" s="86"/>
      <c r="D466" s="86" t="s">
        <v>912</v>
      </c>
      <c r="E466" s="87"/>
      <c r="F466" s="88" t="b">
        <v>0</v>
      </c>
      <c r="G466" s="88" t="b">
        <f>IF(G445=TRUE,TRUE,FALSE)</f>
        <v>0</v>
      </c>
      <c r="H466" s="34" t="str">
        <f>IF(G466=TRUE,H445,"")</f>
        <v/>
      </c>
      <c r="I466" s="34"/>
      <c r="J466" s="14"/>
    </row>
    <row r="467" hidden="1">
      <c r="A467" s="90" t="str">
        <f>HYPERLINK("https://github.com/pytorch/pytorch/blob/f99ab991dcd3719ee25dd3377a53ea12e518308e/test/jit/test_batch_mm.py#L9", "TestBatchMM")</f>
        <v>TestBatchMM</v>
      </c>
      <c r="B467" s="91" t="s">
        <v>931</v>
      </c>
      <c r="C467" s="91"/>
      <c r="D467" s="91" t="s">
        <v>912</v>
      </c>
      <c r="E467" s="92"/>
      <c r="F467" s="93" t="b">
        <v>0</v>
      </c>
      <c r="G467" s="93" t="b">
        <f>IF(G445=TRUE,TRUE,FALSE)</f>
        <v>0</v>
      </c>
      <c r="H467" s="34" t="str">
        <f>IF(G467=TRUE,H445,"")</f>
        <v/>
      </c>
      <c r="I467" s="34"/>
      <c r="J467" s="14"/>
    </row>
    <row r="468" hidden="1">
      <c r="A468" s="85" t="str">
        <f>HYPERLINK("https://github.com/pytorch/pytorch/blob/f99ab991dcd3719ee25dd3377a53ea12e518308e/test/jit/test_builtins.py#L20", "TestBuiltins")</f>
        <v>TestBuiltins</v>
      </c>
      <c r="B468" s="86" t="s">
        <v>932</v>
      </c>
      <c r="C468" s="86"/>
      <c r="D468" s="86" t="s">
        <v>912</v>
      </c>
      <c r="E468" s="87"/>
      <c r="F468" s="88" t="b">
        <v>0</v>
      </c>
      <c r="G468" s="88" t="b">
        <f>IF(G445=TRUE,TRUE,FALSE)</f>
        <v>0</v>
      </c>
      <c r="H468" s="34" t="str">
        <f>IF(G468=TRUE,H445,"")</f>
        <v/>
      </c>
      <c r="I468" s="34"/>
      <c r="J468" s="14"/>
    </row>
    <row r="469" hidden="1">
      <c r="A469" s="90" t="str">
        <f>HYPERLINK("https://github.com/pytorch/pytorch/blob/f99ab991dcd3719ee25dd3377a53ea12e518308e/test/jit/test_builtins.py#L293", "TestTensorBuiltins")</f>
        <v>TestTensorBuiltins</v>
      </c>
      <c r="B469" s="91" t="s">
        <v>932</v>
      </c>
      <c r="C469" s="91"/>
      <c r="D469" s="91" t="s">
        <v>912</v>
      </c>
      <c r="E469" s="92"/>
      <c r="F469" s="93" t="b">
        <v>0</v>
      </c>
      <c r="G469" s="93" t="b">
        <f>IF(G445=TRUE,TRUE,FALSE)</f>
        <v>0</v>
      </c>
      <c r="H469" s="34" t="str">
        <f>IF(G469=TRUE,H445,"")</f>
        <v/>
      </c>
      <c r="I469" s="34"/>
      <c r="J469" s="14"/>
    </row>
    <row r="470" hidden="1">
      <c r="A470" s="85" t="str">
        <f>HYPERLINK("https://github.com/pytorch/pytorch/blob/f99ab991dcd3719ee25dd3377a53ea12e518308e/test/jit/test_class_type.py#L29", "TestClassType")</f>
        <v>TestClassType</v>
      </c>
      <c r="B470" s="86" t="s">
        <v>933</v>
      </c>
      <c r="C470" s="86"/>
      <c r="D470" s="86" t="s">
        <v>912</v>
      </c>
      <c r="E470" s="87"/>
      <c r="F470" s="88" t="b">
        <v>0</v>
      </c>
      <c r="G470" s="88" t="b">
        <f>IF(G445=TRUE,TRUE,FALSE)</f>
        <v>0</v>
      </c>
      <c r="H470" s="34" t="str">
        <f>IF(G470=TRUE,H445,"")</f>
        <v/>
      </c>
      <c r="I470" s="34"/>
      <c r="J470" s="14"/>
    </row>
    <row r="471" hidden="1">
      <c r="A471" s="90" t="str">
        <f>HYPERLINK("https://github.com/pytorch/pytorch/blob/f99ab991dcd3719ee25dd3377a53ea12e518308e/test/jit/test_complex.py#L20", "TestComplex")</f>
        <v>TestComplex</v>
      </c>
      <c r="B471" s="91" t="s">
        <v>934</v>
      </c>
      <c r="C471" s="91"/>
      <c r="D471" s="91" t="s">
        <v>912</v>
      </c>
      <c r="E471" s="92"/>
      <c r="F471" s="93" t="b">
        <v>0</v>
      </c>
      <c r="G471" s="93" t="b">
        <f>IF(G445=TRUE,TRUE,FALSE)</f>
        <v>0</v>
      </c>
      <c r="H471" s="34" t="str">
        <f>IF(G471=TRUE,H445,"")</f>
        <v/>
      </c>
      <c r="I471" s="34"/>
      <c r="J471" s="14"/>
    </row>
    <row r="472" hidden="1">
      <c r="A472" s="85" t="str">
        <f>HYPERLINK("https://github.com/pytorch/pytorch/blob/f99ab991dcd3719ee25dd3377a53ea12e518308e/test/jit/test_complexity.py#L55", "TestComplexity")</f>
        <v>TestComplexity</v>
      </c>
      <c r="B472" s="86" t="s">
        <v>935</v>
      </c>
      <c r="C472" s="86"/>
      <c r="D472" s="86" t="s">
        <v>912</v>
      </c>
      <c r="E472" s="87"/>
      <c r="F472" s="88" t="b">
        <v>0</v>
      </c>
      <c r="G472" s="88" t="b">
        <f>IF(G445=TRUE,TRUE,FALSE)</f>
        <v>0</v>
      </c>
      <c r="H472" s="34" t="str">
        <f>IF(G472=TRUE,H445,"")</f>
        <v/>
      </c>
      <c r="I472" s="34"/>
      <c r="J472" s="14"/>
    </row>
    <row r="473" hidden="1">
      <c r="A473" s="90" t="str">
        <f>HYPERLINK("https://github.com/pytorch/pytorch/blob/f99ab991dcd3719ee25dd3377a53ea12e518308e/test/jit/test_concrete_module_type.py#L9", "TestConcreteModuleTypeFindSubmodule")</f>
        <v>TestConcreteModuleTypeFindSubmodule</v>
      </c>
      <c r="B473" s="91" t="s">
        <v>936</v>
      </c>
      <c r="C473" s="91"/>
      <c r="D473" s="91" t="s">
        <v>912</v>
      </c>
      <c r="E473" s="92"/>
      <c r="F473" s="93" t="b">
        <v>0</v>
      </c>
      <c r="G473" s="93" t="b">
        <f>IF(G445=TRUE,TRUE,FALSE)</f>
        <v>0</v>
      </c>
      <c r="H473" s="34" t="str">
        <f>IF(G473=TRUE,H445,"")</f>
        <v/>
      </c>
      <c r="I473" s="34"/>
      <c r="J473" s="14"/>
    </row>
    <row r="474" hidden="1">
      <c r="A474" s="85" t="str">
        <f>HYPERLINK("https://github.com/pytorch/pytorch/blob/f99ab991dcd3719ee25dd3377a53ea12e518308e/test/jit/test_convert_activation.py#L44", "TestFunctionalToInplaceActivation")</f>
        <v>TestFunctionalToInplaceActivation</v>
      </c>
      <c r="B474" s="86" t="s">
        <v>937</v>
      </c>
      <c r="C474" s="86"/>
      <c r="D474" s="86" t="s">
        <v>912</v>
      </c>
      <c r="E474" s="87"/>
      <c r="F474" s="88" t="b">
        <v>0</v>
      </c>
      <c r="G474" s="88" t="b">
        <f>IF(G445=TRUE,TRUE,FALSE)</f>
        <v>0</v>
      </c>
      <c r="H474" s="34" t="str">
        <f>IF(G474=TRUE,H445,"")</f>
        <v/>
      </c>
      <c r="I474" s="34"/>
      <c r="J474" s="14"/>
    </row>
    <row r="475" hidden="1">
      <c r="A475" s="90" t="str">
        <f>HYPERLINK("https://github.com/pytorch/pytorch/blob/f99ab991dcd3719ee25dd3377a53ea12e518308e/test/jit/test_convert_activation.py#L144", "TestInplaceToFunctionalActivation")</f>
        <v>TestInplaceToFunctionalActivation</v>
      </c>
      <c r="B475" s="91" t="s">
        <v>937</v>
      </c>
      <c r="C475" s="91"/>
      <c r="D475" s="91" t="s">
        <v>912</v>
      </c>
      <c r="E475" s="92"/>
      <c r="F475" s="93" t="b">
        <v>0</v>
      </c>
      <c r="G475" s="93" t="b">
        <f>IF(G445=TRUE,TRUE,FALSE)</f>
        <v>0</v>
      </c>
      <c r="H475" s="34" t="str">
        <f>IF(G475=TRUE,H445,"")</f>
        <v/>
      </c>
      <c r="I475" s="34"/>
      <c r="J475" s="14"/>
    </row>
    <row r="476" hidden="1">
      <c r="A476" s="85" t="str">
        <f>HYPERLINK("https://github.com/pytorch/pytorch/blob/f99ab991dcd3719ee25dd3377a53ea12e518308e/test/jit/test_cuda.py#L40", "TestCUDA")</f>
        <v>TestCUDA</v>
      </c>
      <c r="B476" s="86" t="s">
        <v>938</v>
      </c>
      <c r="C476" s="86"/>
      <c r="D476" s="86" t="s">
        <v>912</v>
      </c>
      <c r="E476" s="87"/>
      <c r="F476" s="88" t="b">
        <v>0</v>
      </c>
      <c r="G476" s="88" t="b">
        <f>IF(G445=TRUE,TRUE,FALSE)</f>
        <v>0</v>
      </c>
      <c r="H476" s="34" t="str">
        <f>IF(G476=TRUE,H445,"")</f>
        <v/>
      </c>
      <c r="I476" s="34"/>
      <c r="J476" s="14"/>
    </row>
    <row r="477" hidden="1">
      <c r="A477" s="90" t="str">
        <f>HYPERLINK("https://github.com/pytorch/pytorch/blob/f99ab991dcd3719ee25dd3377a53ea12e518308e/test/jit/test_custom_operators.py#L21", "TestCustomOperators")</f>
        <v>TestCustomOperators</v>
      </c>
      <c r="B477" s="91" t="s">
        <v>939</v>
      </c>
      <c r="C477" s="91"/>
      <c r="D477" s="91" t="s">
        <v>912</v>
      </c>
      <c r="E477" s="92"/>
      <c r="F477" s="93" t="b">
        <v>0</v>
      </c>
      <c r="G477" s="93" t="b">
        <f>IF(G445=TRUE,TRUE,FALSE)</f>
        <v>0</v>
      </c>
      <c r="H477" s="34" t="str">
        <f>IF(G477=TRUE,H445,"")</f>
        <v/>
      </c>
      <c r="I477" s="34"/>
      <c r="J477" s="14"/>
    </row>
    <row r="478" hidden="1">
      <c r="A478" s="85" t="str">
        <f>HYPERLINK("https://github.com/pytorch/pytorch/blob/f99ab991dcd3719ee25dd3377a53ea12e518308e/test/jit/test_data_parallel.py#L19", "TestDataParallel")</f>
        <v>TestDataParallel</v>
      </c>
      <c r="B478" s="86" t="s">
        <v>940</v>
      </c>
      <c r="C478" s="86"/>
      <c r="D478" s="86" t="s">
        <v>912</v>
      </c>
      <c r="E478" s="87"/>
      <c r="F478" s="88" t="b">
        <v>0</v>
      </c>
      <c r="G478" s="88" t="b">
        <f>IF(G445=TRUE,TRUE,FALSE)</f>
        <v>0</v>
      </c>
      <c r="H478" s="34" t="str">
        <f>IF(G478=TRUE,H445,"")</f>
        <v/>
      </c>
      <c r="I478" s="34"/>
      <c r="J478" s="14"/>
    </row>
    <row r="479" hidden="1">
      <c r="A479" s="90" t="str">
        <f>HYPERLINK("https://github.com/pytorch/pytorch/blob/f99ab991dcd3719ee25dd3377a53ea12e518308e/test/jit/test_dataclasses.py#L66", "TestDataclasses")</f>
        <v>TestDataclasses</v>
      </c>
      <c r="B479" s="91" t="s">
        <v>941</v>
      </c>
      <c r="C479" s="91"/>
      <c r="D479" s="91" t="s">
        <v>912</v>
      </c>
      <c r="E479" s="92"/>
      <c r="F479" s="93" t="b">
        <v>0</v>
      </c>
      <c r="G479" s="93" t="b">
        <f>IF(G445=TRUE,TRUE,FALSE)</f>
        <v>0</v>
      </c>
      <c r="H479" s="34" t="str">
        <f>IF(G479=TRUE,H445,"")</f>
        <v/>
      </c>
      <c r="I479" s="34"/>
      <c r="J479" s="14"/>
    </row>
    <row r="480" hidden="1">
      <c r="A480" s="85" t="str">
        <f>HYPERLINK("https://github.com/pytorch/pytorch/blob/f99ab991dcd3719ee25dd3377a53ea12e518308e/test/jit/test_dce.py#L9", "TestDCE")</f>
        <v>TestDCE</v>
      </c>
      <c r="B480" s="86" t="s">
        <v>942</v>
      </c>
      <c r="C480" s="86"/>
      <c r="D480" s="86" t="s">
        <v>912</v>
      </c>
      <c r="E480" s="87"/>
      <c r="F480" s="88" t="b">
        <v>0</v>
      </c>
      <c r="G480" s="88" t="b">
        <f>IF(G445=TRUE,TRUE,FALSE)</f>
        <v>0</v>
      </c>
      <c r="H480" s="34" t="str">
        <f>IF(G480=TRUE,H445,"")</f>
        <v/>
      </c>
      <c r="I480" s="34"/>
      <c r="J480" s="14"/>
    </row>
    <row r="481" hidden="1">
      <c r="A481" s="90" t="str">
        <f>HYPERLINK("https://github.com/pytorch/pytorch/blob/f99ab991dcd3719ee25dd3377a53ea12e518308e/test/jit/test_decorator.py#L9", "TestDecorator")</f>
        <v>TestDecorator</v>
      </c>
      <c r="B481" s="91" t="s">
        <v>943</v>
      </c>
      <c r="C481" s="91"/>
      <c r="D481" s="91" t="s">
        <v>912</v>
      </c>
      <c r="E481" s="92"/>
      <c r="F481" s="93" t="b">
        <v>0</v>
      </c>
      <c r="G481" s="93" t="b">
        <f>IF(G445=TRUE,TRUE,FALSE)</f>
        <v>0</v>
      </c>
      <c r="H481" s="34" t="str">
        <f>IF(G481=TRUE,H445,"")</f>
        <v/>
      </c>
      <c r="I481" s="34"/>
      <c r="J481" s="14"/>
    </row>
    <row r="482" hidden="1">
      <c r="A482" s="85" t="str">
        <f>HYPERLINK("https://github.com/pytorch/pytorch/blob/f99ab991dcd3719ee25dd3377a53ea12e518308e/test/jit/test_device_analysis.py#L18", "TestDeviceAnalysis")</f>
        <v>TestDeviceAnalysis</v>
      </c>
      <c r="B482" s="86" t="s">
        <v>944</v>
      </c>
      <c r="C482" s="86"/>
      <c r="D482" s="86" t="s">
        <v>912</v>
      </c>
      <c r="E482" s="87"/>
      <c r="F482" s="88" t="b">
        <v>0</v>
      </c>
      <c r="G482" s="88" t="b">
        <f>IF(G445=TRUE,TRUE,FALSE)</f>
        <v>0</v>
      </c>
      <c r="H482" s="34" t="str">
        <f>IF(G482=TRUE,H445,"")</f>
        <v/>
      </c>
      <c r="I482" s="34"/>
      <c r="J482" s="14"/>
    </row>
    <row r="483" hidden="1">
      <c r="A483" s="90" t="str">
        <f>HYPERLINK("https://github.com/pytorch/pytorch/blob/f99ab991dcd3719ee25dd3377a53ea12e518308e/test/jit/test_dtype_analysis.py#L85", "TestDtypeBase")</f>
        <v>TestDtypeBase</v>
      </c>
      <c r="B483" s="91" t="s">
        <v>945</v>
      </c>
      <c r="C483" s="91"/>
      <c r="D483" s="91" t="s">
        <v>912</v>
      </c>
      <c r="E483" s="92"/>
      <c r="F483" s="93" t="b">
        <v>0</v>
      </c>
      <c r="G483" s="93" t="b">
        <f>IF(G445=TRUE,TRUE,FALSE)</f>
        <v>0</v>
      </c>
      <c r="H483" s="34" t="str">
        <f>IF(G483=TRUE,H445,"")</f>
        <v/>
      </c>
      <c r="I483" s="34"/>
      <c r="J483" s="14"/>
    </row>
    <row r="484" hidden="1">
      <c r="A484" s="85" t="str">
        <f>HYPERLINK("https://github.com/pytorch/pytorch/blob/f99ab991dcd3719ee25dd3377a53ea12e518308e/test/jit/test_dtype_analysis.py#L169", "TestDtypeAnalysis")</f>
        <v>TestDtypeAnalysis</v>
      </c>
      <c r="B484" s="86" t="s">
        <v>945</v>
      </c>
      <c r="C484" s="86"/>
      <c r="D484" s="86" t="s">
        <v>912</v>
      </c>
      <c r="E484" s="87"/>
      <c r="F484" s="88" t="b">
        <v>0</v>
      </c>
      <c r="G484" s="88" t="b">
        <f>IF(G445=TRUE,TRUE,FALSE)</f>
        <v>0</v>
      </c>
      <c r="H484" s="34" t="str">
        <f>IF(G484=TRUE,H445,"")</f>
        <v/>
      </c>
      <c r="I484" s="34"/>
      <c r="J484" s="14"/>
    </row>
    <row r="485" hidden="1">
      <c r="A485" s="90" t="str">
        <f>HYPERLINK("https://github.com/pytorch/pytorch/blob/f99ab991dcd3719ee25dd3377a53ea12e518308e/test/jit/test_dtype_analysis.py#L316", "TestDtypeCustomRules")</f>
        <v>TestDtypeCustomRules</v>
      </c>
      <c r="B485" s="91" t="s">
        <v>945</v>
      </c>
      <c r="C485" s="91"/>
      <c r="D485" s="91" t="s">
        <v>912</v>
      </c>
      <c r="E485" s="92"/>
      <c r="F485" s="93" t="b">
        <v>0</v>
      </c>
      <c r="G485" s="93" t="b">
        <f>IF(G445=TRUE,TRUE,FALSE)</f>
        <v>0</v>
      </c>
      <c r="H485" s="34" t="str">
        <f>IF(G485=TRUE,H445,"")</f>
        <v/>
      </c>
      <c r="I485" s="34"/>
      <c r="J485" s="14"/>
    </row>
    <row r="486" hidden="1">
      <c r="A486" s="85" t="str">
        <f>HYPERLINK("https://github.com/pytorch/pytorch/blob/f99ab991dcd3719ee25dd3377a53ea12e518308e/test/jit/test_enum.py#L19", "TestEnum")</f>
        <v>TestEnum</v>
      </c>
      <c r="B486" s="86" t="s">
        <v>946</v>
      </c>
      <c r="C486" s="86"/>
      <c r="D486" s="86" t="s">
        <v>912</v>
      </c>
      <c r="E486" s="87"/>
      <c r="F486" s="88" t="b">
        <v>0</v>
      </c>
      <c r="G486" s="88" t="b">
        <f>IF(G445=TRUE,TRUE,FALSE)</f>
        <v>0</v>
      </c>
      <c r="H486" s="34" t="str">
        <f>IF(G486=TRUE,H445,"")</f>
        <v/>
      </c>
      <c r="I486" s="34"/>
      <c r="J486" s="14"/>
    </row>
    <row r="487" hidden="1">
      <c r="A487" s="90" t="str">
        <f>HYPERLINK("https://github.com/pytorch/pytorch/blob/f99ab991dcd3719ee25dd3377a53ea12e518308e/test/jit/test_exception.py#L12", "TestException")</f>
        <v>TestException</v>
      </c>
      <c r="B487" s="91" t="s">
        <v>947</v>
      </c>
      <c r="C487" s="91"/>
      <c r="D487" s="91" t="s">
        <v>912</v>
      </c>
      <c r="E487" s="92"/>
      <c r="F487" s="93" t="b">
        <v>0</v>
      </c>
      <c r="G487" s="93" t="b">
        <f>IF(G445=TRUE,TRUE,FALSE)</f>
        <v>0</v>
      </c>
      <c r="H487" s="34" t="str">
        <f>IF(G487=TRUE,H445,"")</f>
        <v/>
      </c>
      <c r="I487" s="34"/>
      <c r="J487" s="14"/>
    </row>
    <row r="488" hidden="1">
      <c r="A488" s="85" t="str">
        <f>HYPERLINK("https://github.com/pytorch/pytorch/blob/f99ab991dcd3719ee25dd3377a53ea12e518308e/test/jit/test_freezing.py#L42", "TestFreezing")</f>
        <v>TestFreezing</v>
      </c>
      <c r="B488" s="86" t="s">
        <v>948</v>
      </c>
      <c r="C488" s="86"/>
      <c r="D488" s="86" t="s">
        <v>912</v>
      </c>
      <c r="E488" s="87"/>
      <c r="F488" s="88" t="b">
        <v>0</v>
      </c>
      <c r="G488" s="88" t="b">
        <f>IF(G445=TRUE,TRUE,FALSE)</f>
        <v>0</v>
      </c>
      <c r="H488" s="34" t="str">
        <f>IF(G488=TRUE,H445,"")</f>
        <v/>
      </c>
      <c r="I488" s="34"/>
      <c r="J488" s="14"/>
    </row>
    <row r="489" hidden="1">
      <c r="A489" s="90" t="str">
        <f>HYPERLINK("https://github.com/pytorch/pytorch/blob/f99ab991dcd3719ee25dd3377a53ea12e518308e/test/jit/test_freezing.py#L2044", "TestFrozenOptimizations")</f>
        <v>TestFrozenOptimizations</v>
      </c>
      <c r="B489" s="91" t="s">
        <v>948</v>
      </c>
      <c r="C489" s="91"/>
      <c r="D489" s="91" t="s">
        <v>912</v>
      </c>
      <c r="E489" s="92"/>
      <c r="F489" s="93" t="b">
        <v>0</v>
      </c>
      <c r="G489" s="93" t="b">
        <f>IF(G445=TRUE,TRUE,FALSE)</f>
        <v>0</v>
      </c>
      <c r="H489" s="34" t="str">
        <f>IF(G489=TRUE,H445,"")</f>
        <v/>
      </c>
      <c r="I489" s="34"/>
      <c r="J489" s="14"/>
    </row>
    <row r="490" hidden="1">
      <c r="A490" s="85" t="str">
        <f>HYPERLINK("https://github.com/pytorch/pytorch/blob/f99ab991dcd3719ee25dd3377a53ea12e518308e/test/jit/test_freezing.py#L3354", "TestMKLDNNReinplacing")</f>
        <v>TestMKLDNNReinplacing</v>
      </c>
      <c r="B490" s="86" t="s">
        <v>948</v>
      </c>
      <c r="C490" s="86"/>
      <c r="D490" s="86" t="s">
        <v>912</v>
      </c>
      <c r="E490" s="87"/>
      <c r="F490" s="88" t="b">
        <v>0</v>
      </c>
      <c r="G490" s="88" t="b">
        <f>IF(G445=TRUE,TRUE,FALSE)</f>
        <v>0</v>
      </c>
      <c r="H490" s="34" t="str">
        <f>IF(G490=TRUE,H445,"")</f>
        <v/>
      </c>
      <c r="I490" s="34"/>
      <c r="J490" s="14"/>
    </row>
    <row r="491" hidden="1">
      <c r="A491" s="90" t="str">
        <f>HYPERLINK("https://github.com/pytorch/pytorch/blob/f99ab991dcd3719ee25dd3377a53ea12e518308e/test/jit/test_functional_blocks.py#L17", "TestFunctionalBlocks")</f>
        <v>TestFunctionalBlocks</v>
      </c>
      <c r="B491" s="91" t="s">
        <v>949</v>
      </c>
      <c r="C491" s="91"/>
      <c r="D491" s="91" t="s">
        <v>912</v>
      </c>
      <c r="E491" s="92"/>
      <c r="F491" s="93" t="b">
        <v>0</v>
      </c>
      <c r="G491" s="93" t="b">
        <f>IF(G445=TRUE,TRUE,FALSE)</f>
        <v>0</v>
      </c>
      <c r="H491" s="34" t="str">
        <f>IF(G491=TRUE,H445,"")</f>
        <v/>
      </c>
      <c r="I491" s="34"/>
      <c r="J491" s="14"/>
    </row>
    <row r="492" hidden="1">
      <c r="A492" s="85" t="str">
        <f>HYPERLINK("https://github.com/pytorch/pytorch/blob/f99ab991dcd3719ee25dd3377a53ea12e518308e/test/jit/test_fuser_common.py#L8", "TestFuserCommon")</f>
        <v>TestFuserCommon</v>
      </c>
      <c r="B492" s="86" t="s">
        <v>950</v>
      </c>
      <c r="C492" s="86"/>
      <c r="D492" s="86" t="s">
        <v>912</v>
      </c>
      <c r="E492" s="87"/>
      <c r="F492" s="88" t="b">
        <v>0</v>
      </c>
      <c r="G492" s="88" t="b">
        <f>IF(G445=TRUE,TRUE,FALSE)</f>
        <v>0</v>
      </c>
      <c r="H492" s="34" t="str">
        <f>IF(G492=TRUE,H445,"")</f>
        <v/>
      </c>
      <c r="I492" s="34"/>
      <c r="J492" s="14"/>
    </row>
    <row r="493" hidden="1">
      <c r="A493" s="90" t="str">
        <f>HYPERLINK("https://github.com/pytorch/pytorch/blob/f99ab991dcd3719ee25dd3377a53ea12e518308e/test/jit/test_generator.py#L16", "TestGenerator")</f>
        <v>TestGenerator</v>
      </c>
      <c r="B493" s="91" t="s">
        <v>951</v>
      </c>
      <c r="C493" s="91"/>
      <c r="D493" s="91" t="s">
        <v>912</v>
      </c>
      <c r="E493" s="92"/>
      <c r="F493" s="93" t="b">
        <v>0</v>
      </c>
      <c r="G493" s="93" t="b">
        <f>IF(G445=TRUE,TRUE,FALSE)</f>
        <v>0</v>
      </c>
      <c r="H493" s="34" t="str">
        <f>IF(G493=TRUE,H445,"")</f>
        <v/>
      </c>
      <c r="I493" s="34"/>
      <c r="J493" s="14"/>
    </row>
    <row r="494" hidden="1">
      <c r="A494" s="85" t="str">
        <f>HYPERLINK("https://github.com/pytorch/pytorch/blob/f99ab991dcd3719ee25dd3377a53ea12e518308e/test/jit/test_graph_rewrite_passes.py#L10", "TestGraphRewritePasses")</f>
        <v>TestGraphRewritePasses</v>
      </c>
      <c r="B494" s="86" t="s">
        <v>952</v>
      </c>
      <c r="C494" s="86"/>
      <c r="D494" s="86" t="s">
        <v>912</v>
      </c>
      <c r="E494" s="87"/>
      <c r="F494" s="88" t="b">
        <v>0</v>
      </c>
      <c r="G494" s="88" t="b">
        <f>IF(G445=TRUE,TRUE,FALSE)</f>
        <v>0</v>
      </c>
      <c r="H494" s="34" t="str">
        <f>IF(G494=TRUE,H445,"")</f>
        <v/>
      </c>
      <c r="I494" s="34"/>
      <c r="J494" s="14"/>
    </row>
    <row r="495" hidden="1">
      <c r="A495" s="90" t="str">
        <f>HYPERLINK("https://github.com/pytorch/pytorch/blob/f99ab991dcd3719ee25dd3377a53ea12e518308e/test/jit/test_hash.py#L17", "TestHash")</f>
        <v>TestHash</v>
      </c>
      <c r="B495" s="91" t="s">
        <v>953</v>
      </c>
      <c r="C495" s="91"/>
      <c r="D495" s="91" t="s">
        <v>912</v>
      </c>
      <c r="E495" s="92"/>
      <c r="F495" s="93" t="b">
        <v>0</v>
      </c>
      <c r="G495" s="93" t="b">
        <f>IF(G445=TRUE,TRUE,FALSE)</f>
        <v>0</v>
      </c>
      <c r="H495" s="34" t="str">
        <f>IF(G495=TRUE,H445,"")</f>
        <v/>
      </c>
      <c r="I495" s="34"/>
      <c r="J495" s="14"/>
    </row>
    <row r="496" hidden="1">
      <c r="A496" s="85" t="str">
        <f>HYPERLINK("https://github.com/pytorch/pytorch/blob/f99ab991dcd3719ee25dd3377a53ea12e518308e/test/jit/test_hooks.py#L41", "TestHooks")</f>
        <v>TestHooks</v>
      </c>
      <c r="B496" s="86" t="s">
        <v>954</v>
      </c>
      <c r="C496" s="86"/>
      <c r="D496" s="86" t="s">
        <v>912</v>
      </c>
      <c r="E496" s="87"/>
      <c r="F496" s="88" t="b">
        <v>0</v>
      </c>
      <c r="G496" s="88" t="b">
        <f>IF(G445=TRUE,TRUE,FALSE)</f>
        <v>0</v>
      </c>
      <c r="H496" s="34" t="str">
        <f>IF(G496=TRUE,H445,"")</f>
        <v/>
      </c>
      <c r="I496" s="34"/>
      <c r="J496" s="14"/>
    </row>
    <row r="497" hidden="1">
      <c r="A497" s="90" t="str">
        <f>HYPERLINK("https://github.com/pytorch/pytorch/blob/f99ab991dcd3719ee25dd3377a53ea12e518308e/test/jit/test_ignorable_args.py#L19", "TestIgnorableArgs")</f>
        <v>TestIgnorableArgs</v>
      </c>
      <c r="B497" s="91" t="s">
        <v>955</v>
      </c>
      <c r="C497" s="91"/>
      <c r="D497" s="91" t="s">
        <v>912</v>
      </c>
      <c r="E497" s="92"/>
      <c r="F497" s="93" t="b">
        <v>0</v>
      </c>
      <c r="G497" s="93" t="b">
        <f>IF(G445=TRUE,TRUE,FALSE)</f>
        <v>0</v>
      </c>
      <c r="H497" s="34" t="str">
        <f>IF(G497=TRUE,H445,"")</f>
        <v/>
      </c>
      <c r="I497" s="34"/>
      <c r="J497" s="14"/>
    </row>
    <row r="498" hidden="1">
      <c r="A498" s="85" t="str">
        <f>HYPERLINK("https://github.com/pytorch/pytorch/blob/f99ab991dcd3719ee25dd3377a53ea12e518308e/test/jit/test_ignore_context_manager.py#L16", "TestIgnoreContextManager")</f>
        <v>TestIgnoreContextManager</v>
      </c>
      <c r="B498" s="86" t="s">
        <v>956</v>
      </c>
      <c r="C498" s="86"/>
      <c r="D498" s="86" t="s">
        <v>912</v>
      </c>
      <c r="E498" s="87"/>
      <c r="F498" s="88" t="b">
        <v>0</v>
      </c>
      <c r="G498" s="88" t="b">
        <f>IF(G445=TRUE,TRUE,FALSE)</f>
        <v>0</v>
      </c>
      <c r="H498" s="34" t="str">
        <f>IF(G498=TRUE,H445,"")</f>
        <v/>
      </c>
      <c r="I498" s="34"/>
      <c r="J498" s="14"/>
    </row>
    <row r="499" hidden="1">
      <c r="A499" s="90" t="str">
        <f>HYPERLINK("https://github.com/pytorch/pytorch/blob/f99ab991dcd3719ee25dd3377a53ea12e518308e/test/jit/test_isinstance.py#L19", "TestIsinstance")</f>
        <v>TestIsinstance</v>
      </c>
      <c r="B499" s="91" t="s">
        <v>957</v>
      </c>
      <c r="C499" s="91"/>
      <c r="D499" s="91" t="s">
        <v>912</v>
      </c>
      <c r="E499" s="92"/>
      <c r="F499" s="93" t="b">
        <v>0</v>
      </c>
      <c r="G499" s="93" t="b">
        <f>IF(G445=TRUE,TRUE,FALSE)</f>
        <v>0</v>
      </c>
      <c r="H499" s="34" t="str">
        <f>IF(G499=TRUE,H445,"")</f>
        <v/>
      </c>
      <c r="I499" s="34"/>
      <c r="J499" s="14"/>
    </row>
    <row r="500" hidden="1">
      <c r="A500" s="85" t="str">
        <f>HYPERLINK("https://github.com/pytorch/pytorch/blob/f99ab991dcd3719ee25dd3377a53ea12e518308e/test/jit/test_jit_utils.py#L19", "TestJitUtils")</f>
        <v>TestJitUtils</v>
      </c>
      <c r="B500" s="86" t="s">
        <v>958</v>
      </c>
      <c r="C500" s="86"/>
      <c r="D500" s="86" t="s">
        <v>912</v>
      </c>
      <c r="E500" s="87"/>
      <c r="F500" s="88" t="b">
        <v>0</v>
      </c>
      <c r="G500" s="88" t="b">
        <f>IF(G445=TRUE,TRUE,FALSE)</f>
        <v>0</v>
      </c>
      <c r="H500" s="34" t="str">
        <f>IF(G500=TRUE,H445,"")</f>
        <v/>
      </c>
      <c r="I500" s="34"/>
      <c r="J500" s="14"/>
    </row>
    <row r="501" hidden="1">
      <c r="A501" s="90" t="str">
        <f>HYPERLINK("https://github.com/pytorch/pytorch/blob/f99ab991dcd3719ee25dd3377a53ea12e518308e/test/jit/test_list_dict.py#L30", "TestList")</f>
        <v>TestList</v>
      </c>
      <c r="B501" s="91" t="s">
        <v>959</v>
      </c>
      <c r="C501" s="91"/>
      <c r="D501" s="91" t="s">
        <v>912</v>
      </c>
      <c r="E501" s="92"/>
      <c r="F501" s="93" t="b">
        <v>0</v>
      </c>
      <c r="G501" s="93" t="b">
        <f>IF(G445=TRUE,TRUE,FALSE)</f>
        <v>0</v>
      </c>
      <c r="H501" s="34" t="str">
        <f>IF(G501=TRUE,H445,"")</f>
        <v/>
      </c>
      <c r="I501" s="34"/>
      <c r="J501" s="14"/>
    </row>
    <row r="502" hidden="1">
      <c r="A502" s="85" t="str">
        <f>HYPERLINK("https://github.com/pytorch/pytorch/blob/f99ab991dcd3719ee25dd3377a53ea12e518308e/test/jit/test_list_dict.py#L1559", "TestDict")</f>
        <v>TestDict</v>
      </c>
      <c r="B502" s="86" t="s">
        <v>959</v>
      </c>
      <c r="C502" s="86"/>
      <c r="D502" s="86" t="s">
        <v>912</v>
      </c>
      <c r="E502" s="87"/>
      <c r="F502" s="88" t="b">
        <v>0</v>
      </c>
      <c r="G502" s="88" t="b">
        <f>IF(G445=TRUE,TRUE,FALSE)</f>
        <v>0</v>
      </c>
      <c r="H502" s="34" t="str">
        <f>IF(G502=TRUE,H445,"")</f>
        <v/>
      </c>
      <c r="I502" s="34"/>
      <c r="J502" s="14"/>
    </row>
    <row r="503" hidden="1">
      <c r="A503" s="90" t="str">
        <f>HYPERLINK("https://github.com/pytorch/pytorch/blob/f99ab991dcd3719ee25dd3377a53ea12e518308e/test/jit/test_list_dict.py#L2126", "TestNamedTuple")</f>
        <v>TestNamedTuple</v>
      </c>
      <c r="B503" s="91" t="s">
        <v>959</v>
      </c>
      <c r="C503" s="91"/>
      <c r="D503" s="91" t="s">
        <v>912</v>
      </c>
      <c r="E503" s="92"/>
      <c r="F503" s="93" t="b">
        <v>0</v>
      </c>
      <c r="G503" s="93" t="b">
        <f>IF(G445=TRUE,TRUE,FALSE)</f>
        <v>0</v>
      </c>
      <c r="H503" s="34" t="str">
        <f>IF(G503=TRUE,H445,"")</f>
        <v/>
      </c>
      <c r="I503" s="34"/>
      <c r="J503" s="14"/>
    </row>
    <row r="504" hidden="1">
      <c r="A504" s="85" t="str">
        <f>HYPERLINK("https://github.com/pytorch/pytorch/blob/f99ab991dcd3719ee25dd3377a53ea12e518308e/test/jit/test_list_dict.py#L2364", "TestScriptDict")</f>
        <v>TestScriptDict</v>
      </c>
      <c r="B504" s="86" t="s">
        <v>959</v>
      </c>
      <c r="C504" s="86"/>
      <c r="D504" s="86" t="s">
        <v>912</v>
      </c>
      <c r="E504" s="87"/>
      <c r="F504" s="88" t="b">
        <v>0</v>
      </c>
      <c r="G504" s="88" t="b">
        <f>IF(G445=TRUE,TRUE,FALSE)</f>
        <v>0</v>
      </c>
      <c r="H504" s="34" t="str">
        <f>IF(G504=TRUE,H445,"")</f>
        <v/>
      </c>
      <c r="I504" s="34"/>
      <c r="J504" s="14"/>
    </row>
    <row r="505" hidden="1">
      <c r="A505" s="90" t="str">
        <f>HYPERLINK("https://github.com/pytorch/pytorch/blob/f99ab991dcd3719ee25dd3377a53ea12e518308e/test/jit/test_list_dict.py#L2601", "TestScriptList")</f>
        <v>TestScriptList</v>
      </c>
      <c r="B505" s="91" t="s">
        <v>959</v>
      </c>
      <c r="C505" s="91"/>
      <c r="D505" s="91" t="s">
        <v>912</v>
      </c>
      <c r="E505" s="92"/>
      <c r="F505" s="93" t="b">
        <v>0</v>
      </c>
      <c r="G505" s="93" t="b">
        <f>IF(G445=TRUE,TRUE,FALSE)</f>
        <v>0</v>
      </c>
      <c r="H505" s="34" t="str">
        <f>IF(G505=TRUE,H445,"")</f>
        <v/>
      </c>
      <c r="I505" s="34"/>
      <c r="J505" s="14"/>
    </row>
    <row r="506" hidden="1">
      <c r="A506" s="85" t="str">
        <f>HYPERLINK("https://github.com/pytorch/pytorch/blob/f99ab991dcd3719ee25dd3377a53ea12e518308e/test/jit/test_logging.py#L17", "TestLogging")</f>
        <v>TestLogging</v>
      </c>
      <c r="B506" s="86" t="s">
        <v>960</v>
      </c>
      <c r="C506" s="86"/>
      <c r="D506" s="86" t="s">
        <v>912</v>
      </c>
      <c r="E506" s="87"/>
      <c r="F506" s="88" t="b">
        <v>0</v>
      </c>
      <c r="G506" s="88" t="b">
        <f>IF(G445=TRUE,TRUE,FALSE)</f>
        <v>0</v>
      </c>
      <c r="H506" s="34" t="str">
        <f>IF(G506=TRUE,H445,"")</f>
        <v/>
      </c>
      <c r="I506" s="34"/>
      <c r="J506" s="14"/>
    </row>
    <row r="507" hidden="1">
      <c r="A507" s="90" t="str">
        <f>HYPERLINK("https://github.com/pytorch/pytorch/blob/f99ab991dcd3719ee25dd3377a53ea12e518308e/test/jit/test_misc.py#L28", "TestMisc")</f>
        <v>TestMisc</v>
      </c>
      <c r="B507" s="91" t="s">
        <v>961</v>
      </c>
      <c r="C507" s="91"/>
      <c r="D507" s="91" t="s">
        <v>912</v>
      </c>
      <c r="E507" s="92"/>
      <c r="F507" s="93" t="b">
        <v>0</v>
      </c>
      <c r="G507" s="93" t="b">
        <f>IF(G445=TRUE,TRUE,FALSE)</f>
        <v>0</v>
      </c>
      <c r="H507" s="34" t="str">
        <f>IF(G507=TRUE,H445,"")</f>
        <v/>
      </c>
      <c r="I507" s="34"/>
      <c r="J507" s="14"/>
    </row>
    <row r="508" hidden="1">
      <c r="A508" s="85" t="str">
        <f>HYPERLINK("https://github.com/pytorch/pytorch/blob/f99ab991dcd3719ee25dd3377a53ea12e518308e/test/jit/test_models.py#L58", "TestModels")</f>
        <v>TestModels</v>
      </c>
      <c r="B508" s="86" t="s">
        <v>962</v>
      </c>
      <c r="C508" s="86"/>
      <c r="D508" s="86" t="s">
        <v>912</v>
      </c>
      <c r="E508" s="87"/>
      <c r="F508" s="88" t="b">
        <v>0</v>
      </c>
      <c r="G508" s="88" t="b">
        <f>IF(G445=TRUE,TRUE,FALSE)</f>
        <v>0</v>
      </c>
      <c r="H508" s="34" t="str">
        <f>IF(G508=TRUE,H445,"")</f>
        <v/>
      </c>
      <c r="I508" s="34"/>
      <c r="J508" s="14"/>
    </row>
    <row r="509" hidden="1">
      <c r="A509" s="90" t="str">
        <f>HYPERLINK("https://github.com/pytorch/pytorch/blob/f99ab991dcd3719ee25dd3377a53ea12e518308e/test/jit/test_module_apis.py#L17", "TestModuleAPIs")</f>
        <v>TestModuleAPIs</v>
      </c>
      <c r="B509" s="91" t="s">
        <v>963</v>
      </c>
      <c r="C509" s="91"/>
      <c r="D509" s="91" t="s">
        <v>912</v>
      </c>
      <c r="E509" s="92"/>
      <c r="F509" s="93" t="b">
        <v>0</v>
      </c>
      <c r="G509" s="93" t="b">
        <f>IF(G445=TRUE,TRUE,FALSE)</f>
        <v>0</v>
      </c>
      <c r="H509" s="34" t="str">
        <f>IF(G509=TRUE,H445,"")</f>
        <v/>
      </c>
      <c r="I509" s="34"/>
      <c r="J509" s="14"/>
    </row>
    <row r="510" hidden="1">
      <c r="A510" s="85" t="str">
        <f>HYPERLINK("https://github.com/pytorch/pytorch/blob/f99ab991dcd3719ee25dd3377a53ea12e518308e/test/jit/test_module_containers.py#L19", "TestModuleContainers")</f>
        <v>TestModuleContainers</v>
      </c>
      <c r="B510" s="86" t="s">
        <v>964</v>
      </c>
      <c r="C510" s="86"/>
      <c r="D510" s="86" t="s">
        <v>912</v>
      </c>
      <c r="E510" s="87"/>
      <c r="F510" s="88" t="b">
        <v>0</v>
      </c>
      <c r="G510" s="88" t="b">
        <f>IF(G445=TRUE,TRUE,FALSE)</f>
        <v>0</v>
      </c>
      <c r="H510" s="34" t="str">
        <f>IF(G510=TRUE,H445,"")</f>
        <v/>
      </c>
      <c r="I510" s="34"/>
      <c r="J510" s="14"/>
    </row>
    <row r="511" hidden="1">
      <c r="A511" s="90" t="str">
        <f>HYPERLINK("https://github.com/pytorch/pytorch/blob/f99ab991dcd3719ee25dd3377a53ea12e518308e/test/jit/test_module_interface.py#L39", "TestModuleInterface")</f>
        <v>TestModuleInterface</v>
      </c>
      <c r="B511" s="91" t="s">
        <v>965</v>
      </c>
      <c r="C511" s="91"/>
      <c r="D511" s="91" t="s">
        <v>912</v>
      </c>
      <c r="E511" s="92"/>
      <c r="F511" s="93" t="b">
        <v>0</v>
      </c>
      <c r="G511" s="93" t="b">
        <f>IF(G445=TRUE,TRUE,FALSE)</f>
        <v>0</v>
      </c>
      <c r="H511" s="34" t="str">
        <f>IF(G511=TRUE,H445,"")</f>
        <v/>
      </c>
      <c r="I511" s="34"/>
      <c r="J511" s="14"/>
    </row>
    <row r="512" hidden="1">
      <c r="A512" s="85" t="str">
        <f>HYPERLINK("https://github.com/pytorch/pytorch/blob/f99ab991dcd3719ee25dd3377a53ea12e518308e/test/jit/test_modules.py#L16", "TestModules")</f>
        <v>TestModules</v>
      </c>
      <c r="B512" s="86" t="s">
        <v>966</v>
      </c>
      <c r="C512" s="86"/>
      <c r="D512" s="86" t="s">
        <v>912</v>
      </c>
      <c r="E512" s="87"/>
      <c r="F512" s="88" t="b">
        <v>0</v>
      </c>
      <c r="G512" s="88" t="b">
        <f>IF(G445=TRUE,TRUE,FALSE)</f>
        <v>0</v>
      </c>
      <c r="H512" s="34" t="str">
        <f>IF(G512=TRUE,H445,"")</f>
        <v/>
      </c>
      <c r="I512" s="34"/>
      <c r="J512" s="14"/>
    </row>
    <row r="513" hidden="1">
      <c r="A513" s="90" t="str">
        <f>HYPERLINK("https://github.com/pytorch/pytorch/blob/f99ab991dcd3719ee25dd3377a53ea12e518308e/test/jit/test_op_decompositions.py#L9", "TestOpDecompositions")</f>
        <v>TestOpDecompositions</v>
      </c>
      <c r="B513" s="91" t="s">
        <v>967</v>
      </c>
      <c r="C513" s="91"/>
      <c r="D513" s="91" t="s">
        <v>912</v>
      </c>
      <c r="E513" s="92"/>
      <c r="F513" s="93" t="b">
        <v>0</v>
      </c>
      <c r="G513" s="93" t="b">
        <f>IF(G445=TRUE,TRUE,FALSE)</f>
        <v>0</v>
      </c>
      <c r="H513" s="34" t="str">
        <f>IF(G513=TRUE,H445,"")</f>
        <v/>
      </c>
      <c r="I513" s="34"/>
      <c r="J513" s="14"/>
    </row>
    <row r="514" hidden="1">
      <c r="A514" s="85" t="str">
        <f>HYPERLINK("https://github.com/pytorch/pytorch/blob/f99ab991dcd3719ee25dd3377a53ea12e518308e/test/jit/test_optimize_for_mobile_preserve_debug_info.py#L10", "TestOptimizeForMobilePreserveDebugInfo")</f>
        <v>TestOptimizeForMobilePreserveDebugInfo</v>
      </c>
      <c r="B514" s="86" t="s">
        <v>968</v>
      </c>
      <c r="C514" s="86"/>
      <c r="D514" s="86" t="s">
        <v>912</v>
      </c>
      <c r="E514" s="87"/>
      <c r="F514" s="88" t="b">
        <v>0</v>
      </c>
      <c r="G514" s="88" t="b">
        <f>IF(G445=TRUE,TRUE,FALSE)</f>
        <v>0</v>
      </c>
      <c r="H514" s="34" t="str">
        <f>IF(G514=TRUE,H445,"")</f>
        <v/>
      </c>
      <c r="I514" s="34"/>
      <c r="J514" s="14"/>
    </row>
    <row r="515" hidden="1">
      <c r="A515" s="90" t="str">
        <f>HYPERLINK("https://github.com/pytorch/pytorch/blob/f99ab991dcd3719ee25dd3377a53ea12e518308e/test/jit/test_parametrization.py#L11", "TestParametrization")</f>
        <v>TestParametrization</v>
      </c>
      <c r="B515" s="91" t="s">
        <v>969</v>
      </c>
      <c r="C515" s="91"/>
      <c r="D515" s="91" t="s">
        <v>912</v>
      </c>
      <c r="E515" s="92"/>
      <c r="F515" s="93" t="b">
        <v>0</v>
      </c>
      <c r="G515" s="93" t="b">
        <f>IF(G445=TRUE,TRUE,FALSE)</f>
        <v>0</v>
      </c>
      <c r="H515" s="34" t="str">
        <f>IF(G515=TRUE,H445,"")</f>
        <v/>
      </c>
      <c r="I515" s="34"/>
      <c r="J515" s="14"/>
    </row>
    <row r="516" hidden="1">
      <c r="A516" s="85" t="str">
        <f>HYPERLINK("https://github.com/pytorch/pytorch/blob/f99ab991dcd3719ee25dd3377a53ea12e518308e/test/jit/test_pdt.py#L25", "TestPDT")</f>
        <v>TestPDT</v>
      </c>
      <c r="B516" s="86" t="s">
        <v>970</v>
      </c>
      <c r="C516" s="86"/>
      <c r="D516" s="86" t="s">
        <v>912</v>
      </c>
      <c r="E516" s="87"/>
      <c r="F516" s="88" t="b">
        <v>0</v>
      </c>
      <c r="G516" s="88" t="b">
        <f>IF(G445=TRUE,TRUE,FALSE)</f>
        <v>0</v>
      </c>
      <c r="H516" s="34" t="str">
        <f>IF(G516=TRUE,H445,"")</f>
        <v/>
      </c>
      <c r="I516" s="34"/>
      <c r="J516" s="14"/>
    </row>
    <row r="517" hidden="1">
      <c r="A517" s="90" t="str">
        <f>HYPERLINK("https://github.com/pytorch/pytorch/blob/f99ab991dcd3719ee25dd3377a53ea12e518308e/test/jit/test_peephole.py#L13", "TestPeephole")</f>
        <v>TestPeephole</v>
      </c>
      <c r="B517" s="91" t="s">
        <v>971</v>
      </c>
      <c r="C517" s="91"/>
      <c r="D517" s="91" t="s">
        <v>912</v>
      </c>
      <c r="E517" s="92"/>
      <c r="F517" s="93" t="b">
        <v>0</v>
      </c>
      <c r="G517" s="93" t="b">
        <f>IF(G445=TRUE,TRUE,FALSE)</f>
        <v>0</v>
      </c>
      <c r="H517" s="34" t="str">
        <f>IF(G517=TRUE,H445,"")</f>
        <v/>
      </c>
      <c r="I517" s="34"/>
      <c r="J517" s="14"/>
    </row>
    <row r="518" hidden="1">
      <c r="A518" s="85" t="str">
        <f>HYPERLINK("https://github.com/pytorch/pytorch/blob/f99ab991dcd3719ee25dd3377a53ea12e518308e/test/jit/test_profiler.py#L20", "TestProfiler")</f>
        <v>TestProfiler</v>
      </c>
      <c r="B518" s="86" t="s">
        <v>972</v>
      </c>
      <c r="C518" s="86"/>
      <c r="D518" s="86" t="s">
        <v>912</v>
      </c>
      <c r="E518" s="87"/>
      <c r="F518" s="88" t="b">
        <v>0</v>
      </c>
      <c r="G518" s="88" t="b">
        <f>IF(G445=TRUE,TRUE,FALSE)</f>
        <v>0</v>
      </c>
      <c r="H518" s="34" t="str">
        <f>IF(G518=TRUE,H445,"")</f>
        <v/>
      </c>
      <c r="I518" s="34"/>
      <c r="J518" s="14"/>
    </row>
    <row r="519" hidden="1">
      <c r="A519" s="90" t="str">
        <f>HYPERLINK("https://github.com/pytorch/pytorch/blob/f99ab991dcd3719ee25dd3377a53ea12e518308e/test/jit/test_python_bindings.py#L9", "TestPythonBindings")</f>
        <v>TestPythonBindings</v>
      </c>
      <c r="B519" s="91" t="s">
        <v>973</v>
      </c>
      <c r="C519" s="91"/>
      <c r="D519" s="91" t="s">
        <v>912</v>
      </c>
      <c r="E519" s="92"/>
      <c r="F519" s="93" t="b">
        <v>0</v>
      </c>
      <c r="G519" s="93" t="b">
        <f>IF(G445=TRUE,TRUE,FALSE)</f>
        <v>0</v>
      </c>
      <c r="H519" s="34" t="str">
        <f>IF(G519=TRUE,H445,"")</f>
        <v/>
      </c>
      <c r="I519" s="34"/>
      <c r="J519" s="14"/>
    </row>
    <row r="520" hidden="1">
      <c r="A520" s="85" t="str">
        <f>HYPERLINK("https://github.com/pytorch/pytorch/blob/f99ab991dcd3719ee25dd3377a53ea12e518308e/test/jit/test_python_builtins.py#L29", "TestPythonBuiltinOP")</f>
        <v>TestPythonBuiltinOP</v>
      </c>
      <c r="B520" s="86" t="s">
        <v>974</v>
      </c>
      <c r="C520" s="86"/>
      <c r="D520" s="86" t="s">
        <v>912</v>
      </c>
      <c r="E520" s="87"/>
      <c r="F520" s="88" t="b">
        <v>0</v>
      </c>
      <c r="G520" s="88" t="b">
        <f>IF(G445=TRUE,TRUE,FALSE)</f>
        <v>0</v>
      </c>
      <c r="H520" s="34" t="str">
        <f>IF(G520=TRUE,H445,"")</f>
        <v/>
      </c>
      <c r="I520" s="34"/>
      <c r="J520" s="14"/>
    </row>
    <row r="521" hidden="1">
      <c r="A521" s="90" t="str">
        <f>HYPERLINK("https://github.com/pytorch/pytorch/blob/f99ab991dcd3719ee25dd3377a53ea12e518308e/test/jit/test_python_ir.py#L13", "TestPythonIr")</f>
        <v>TestPythonIr</v>
      </c>
      <c r="B521" s="91" t="s">
        <v>975</v>
      </c>
      <c r="C521" s="91"/>
      <c r="D521" s="91" t="s">
        <v>912</v>
      </c>
      <c r="E521" s="92"/>
      <c r="F521" s="93" t="b">
        <v>0</v>
      </c>
      <c r="G521" s="93" t="b">
        <f>IF(G445=TRUE,TRUE,FALSE)</f>
        <v>0</v>
      </c>
      <c r="H521" s="34" t="str">
        <f>IF(G521=TRUE,H445,"")</f>
        <v/>
      </c>
      <c r="I521" s="34"/>
      <c r="J521" s="14"/>
    </row>
    <row r="522" hidden="1">
      <c r="A522" s="85" t="str">
        <f>HYPERLINK("https://github.com/pytorch/pytorch/blob/f99ab991dcd3719ee25dd3377a53ea12e518308e/test/jit/test_recursive_script.py#L31", "TestRecursiveScript")</f>
        <v>TestRecursiveScript</v>
      </c>
      <c r="B522" s="86" t="s">
        <v>976</v>
      </c>
      <c r="C522" s="86"/>
      <c r="D522" s="86" t="s">
        <v>912</v>
      </c>
      <c r="E522" s="87"/>
      <c r="F522" s="88" t="b">
        <v>0</v>
      </c>
      <c r="G522" s="88" t="b">
        <f>IF(G445=TRUE,TRUE,FALSE)</f>
        <v>0</v>
      </c>
      <c r="H522" s="34" t="str">
        <f>IF(G522=TRUE,H445,"")</f>
        <v/>
      </c>
      <c r="I522" s="34"/>
      <c r="J522" s="14"/>
    </row>
    <row r="523" hidden="1">
      <c r="A523" s="90" t="str">
        <f>HYPERLINK("https://github.com/pytorch/pytorch/blob/f99ab991dcd3719ee25dd3377a53ea12e518308e/test/jit/test_remove_mutation.py#L18", "TestRemoveMutation")</f>
        <v>TestRemoveMutation</v>
      </c>
      <c r="B523" s="91" t="s">
        <v>977</v>
      </c>
      <c r="C523" s="91"/>
      <c r="D523" s="91" t="s">
        <v>912</v>
      </c>
      <c r="E523" s="92"/>
      <c r="F523" s="93" t="b">
        <v>0</v>
      </c>
      <c r="G523" s="93" t="b">
        <f>IF(G445=TRUE,TRUE,FALSE)</f>
        <v>0</v>
      </c>
      <c r="H523" s="34" t="str">
        <f>IF(G523=TRUE,H445,"")</f>
        <v/>
      </c>
      <c r="I523" s="34"/>
      <c r="J523" s="14"/>
    </row>
    <row r="524" hidden="1">
      <c r="A524" s="85" t="str">
        <f>HYPERLINK("https://github.com/pytorch/pytorch/blob/f99ab991dcd3719ee25dd3377a53ea12e518308e/test/jit/test_save_load.py#L24", "TestSaveLoad")</f>
        <v>TestSaveLoad</v>
      </c>
      <c r="B524" s="86" t="s">
        <v>978</v>
      </c>
      <c r="C524" s="86"/>
      <c r="D524" s="86" t="s">
        <v>912</v>
      </c>
      <c r="E524" s="87"/>
      <c r="F524" s="88" t="b">
        <v>0</v>
      </c>
      <c r="G524" s="88" t="b">
        <f>IF(G445=TRUE,TRUE,FALSE)</f>
        <v>0</v>
      </c>
      <c r="H524" s="34" t="str">
        <f>IF(G524=TRUE,H445,"")</f>
        <v/>
      </c>
      <c r="I524" s="34"/>
      <c r="J524" s="14"/>
    </row>
    <row r="525" hidden="1">
      <c r="A525" s="90" t="str">
        <f>HYPERLINK("https://github.com/pytorch/pytorch/blob/f99ab991dcd3719ee25dd3377a53ea12e518308e/test/jit/test_save_load.py#L759", "TestSaveLoadFlatbuffer")</f>
        <v>TestSaveLoadFlatbuffer</v>
      </c>
      <c r="B525" s="91" t="s">
        <v>978</v>
      </c>
      <c r="C525" s="91"/>
      <c r="D525" s="91" t="s">
        <v>912</v>
      </c>
      <c r="E525" s="92"/>
      <c r="F525" s="93" t="b">
        <v>0</v>
      </c>
      <c r="G525" s="93" t="b">
        <f>IF(G445=TRUE,TRUE,FALSE)</f>
        <v>0</v>
      </c>
      <c r="H525" s="34" t="str">
        <f>IF(G525=TRUE,H445,"")</f>
        <v/>
      </c>
      <c r="I525" s="34"/>
      <c r="J525" s="14"/>
    </row>
    <row r="526" hidden="1">
      <c r="A526" s="85" t="str">
        <f>HYPERLINK("https://github.com/pytorch/pytorch/blob/f99ab991dcd3719ee25dd3377a53ea12e518308e/test/jit/test_save_load_for_op_version.py#L24", "TestSaveLoadForOpVersion")</f>
        <v>TestSaveLoadForOpVersion</v>
      </c>
      <c r="B526" s="86" t="s">
        <v>979</v>
      </c>
      <c r="C526" s="86"/>
      <c r="D526" s="86" t="s">
        <v>912</v>
      </c>
      <c r="E526" s="87"/>
      <c r="F526" s="88" t="b">
        <v>0</v>
      </c>
      <c r="G526" s="88" t="b">
        <f>IF(G445=TRUE,TRUE,FALSE)</f>
        <v>0</v>
      </c>
      <c r="H526" s="34" t="str">
        <f>IF(G526=TRUE,H445,"")</f>
        <v/>
      </c>
      <c r="I526" s="34"/>
      <c r="J526" s="14"/>
    </row>
    <row r="527" hidden="1">
      <c r="A527" s="90" t="str">
        <f>HYPERLINK("https://github.com/pytorch/pytorch/blob/f99ab991dcd3719ee25dd3377a53ea12e518308e/test/jit/test_script_profile.py#L40", "TestScriptProfile")</f>
        <v>TestScriptProfile</v>
      </c>
      <c r="B527" s="91" t="s">
        <v>980</v>
      </c>
      <c r="C527" s="91"/>
      <c r="D527" s="91" t="s">
        <v>912</v>
      </c>
      <c r="E527" s="92"/>
      <c r="F527" s="93" t="b">
        <v>0</v>
      </c>
      <c r="G527" s="93" t="b">
        <f>IF(G445=TRUE,TRUE,FALSE)</f>
        <v>0</v>
      </c>
      <c r="H527" s="34" t="str">
        <f>IF(G527=TRUE,H445,"")</f>
        <v/>
      </c>
      <c r="I527" s="34"/>
      <c r="J527" s="14"/>
    </row>
    <row r="528" hidden="1">
      <c r="A528" s="85" t="str">
        <f>HYPERLINK("https://github.com/pytorch/pytorch/blob/f99ab991dcd3719ee25dd3377a53ea12e518308e/test/jit/test_scriptmod_ann.py#L18", "TestScriptModuleInstanceAttributeTypeAnnotation")</f>
        <v>TestScriptModuleInstanceAttributeTypeAnnotation</v>
      </c>
      <c r="B528" s="86" t="s">
        <v>981</v>
      </c>
      <c r="C528" s="86"/>
      <c r="D528" s="86" t="s">
        <v>912</v>
      </c>
      <c r="E528" s="87"/>
      <c r="F528" s="88" t="b">
        <v>0</v>
      </c>
      <c r="G528" s="88" t="b">
        <f>IF(G445=TRUE,TRUE,FALSE)</f>
        <v>0</v>
      </c>
      <c r="H528" s="34" t="str">
        <f>IF(G528=TRUE,H445,"")</f>
        <v/>
      </c>
      <c r="I528" s="34"/>
      <c r="J528" s="14"/>
    </row>
    <row r="529" hidden="1">
      <c r="A529" s="90" t="str">
        <f>HYPERLINK("https://github.com/pytorch/pytorch/blob/f99ab991dcd3719ee25dd3377a53ea12e518308e/test/jit/test_slice.py#L18", "TestSlice")</f>
        <v>TestSlice</v>
      </c>
      <c r="B529" s="91" t="s">
        <v>982</v>
      </c>
      <c r="C529" s="91"/>
      <c r="D529" s="91" t="s">
        <v>912</v>
      </c>
      <c r="E529" s="92"/>
      <c r="F529" s="93" t="b">
        <v>0</v>
      </c>
      <c r="G529" s="93" t="b">
        <f>IF(G445=TRUE,TRUE,FALSE)</f>
        <v>0</v>
      </c>
      <c r="H529" s="34" t="str">
        <f>IF(G529=TRUE,H445,"")</f>
        <v/>
      </c>
      <c r="I529" s="34"/>
      <c r="J529" s="14"/>
    </row>
    <row r="530" hidden="1">
      <c r="A530" s="85" t="str">
        <f>HYPERLINK("https://github.com/pytorch/pytorch/blob/f99ab991dcd3719ee25dd3377a53ea12e518308e/test/jit/test_string_formatting.py#L17", "TestStringFormatting")</f>
        <v>TestStringFormatting</v>
      </c>
      <c r="B530" s="86" t="s">
        <v>983</v>
      </c>
      <c r="C530" s="86"/>
      <c r="D530" s="86" t="s">
        <v>912</v>
      </c>
      <c r="E530" s="87"/>
      <c r="F530" s="88" t="b">
        <v>0</v>
      </c>
      <c r="G530" s="88" t="b">
        <f>IF(G445=TRUE,TRUE,FALSE)</f>
        <v>0</v>
      </c>
      <c r="H530" s="34" t="str">
        <f>IF(G530=TRUE,H445,"")</f>
        <v/>
      </c>
      <c r="I530" s="34"/>
      <c r="J530" s="14"/>
    </row>
    <row r="531" hidden="1">
      <c r="A531" s="90" t="str">
        <f>HYPERLINK("https://github.com/pytorch/pytorch/blob/f99ab991dcd3719ee25dd3377a53ea12e518308e/test/jit/test_symbolic_shape_analysis.py#L17", "TestSymbolicShapeAnalysis")</f>
        <v>TestSymbolicShapeAnalysis</v>
      </c>
      <c r="B531" s="91" t="s">
        <v>984</v>
      </c>
      <c r="C531" s="91"/>
      <c r="D531" s="91" t="s">
        <v>912</v>
      </c>
      <c r="E531" s="92"/>
      <c r="F531" s="93" t="b">
        <v>0</v>
      </c>
      <c r="G531" s="93" t="b">
        <f>IF(G445=TRUE,TRUE,FALSE)</f>
        <v>0</v>
      </c>
      <c r="H531" s="34" t="str">
        <f>IF(G531=TRUE,H445,"")</f>
        <v/>
      </c>
      <c r="I531" s="34"/>
      <c r="J531" s="14"/>
    </row>
    <row r="532" hidden="1">
      <c r="A532" s="85" t="str">
        <f>HYPERLINK("https://github.com/pytorch/pytorch/blob/f99ab991dcd3719ee25dd3377a53ea12e518308e/test/jit/test_tensor_creation_ops.py#L16", "TestTensorCreationOps")</f>
        <v>TestTensorCreationOps</v>
      </c>
      <c r="B532" s="86" t="s">
        <v>985</v>
      </c>
      <c r="C532" s="86"/>
      <c r="D532" s="86" t="s">
        <v>912</v>
      </c>
      <c r="E532" s="87"/>
      <c r="F532" s="88" t="b">
        <v>0</v>
      </c>
      <c r="G532" s="88" t="b">
        <f>IF(G445=TRUE,TRUE,FALSE)</f>
        <v>0</v>
      </c>
      <c r="H532" s="34" t="str">
        <f>IF(G532=TRUE,H445,"")</f>
        <v/>
      </c>
      <c r="I532" s="34"/>
      <c r="J532" s="14"/>
    </row>
    <row r="533" hidden="1">
      <c r="A533" s="90" t="str">
        <f>HYPERLINK("https://github.com/pytorch/pytorch/blob/f99ab991dcd3719ee25dd3377a53ea12e518308e/test/jit/test_tensor_methods.py#L17", "TestTensorMethods")</f>
        <v>TestTensorMethods</v>
      </c>
      <c r="B533" s="91" t="s">
        <v>986</v>
      </c>
      <c r="C533" s="91"/>
      <c r="D533" s="91" t="s">
        <v>912</v>
      </c>
      <c r="E533" s="92"/>
      <c r="F533" s="93" t="b">
        <v>0</v>
      </c>
      <c r="G533" s="93" t="b">
        <f>IF(G445=TRUE,TRUE,FALSE)</f>
        <v>0</v>
      </c>
      <c r="H533" s="34" t="str">
        <f>IF(G533=TRUE,H445,"")</f>
        <v/>
      </c>
      <c r="I533" s="34"/>
      <c r="J533" s="14"/>
    </row>
    <row r="534" hidden="1">
      <c r="A534" s="85" t="str">
        <f>HYPERLINK("https://github.com/pytorch/pytorch/blob/f99ab991dcd3719ee25dd3377a53ea12e518308e/test/jit/test_torchbind.py#L26", "TestTorchbind")</f>
        <v>TestTorchbind</v>
      </c>
      <c r="B534" s="86" t="s">
        <v>987</v>
      </c>
      <c r="C534" s="86"/>
      <c r="D534" s="86" t="s">
        <v>912</v>
      </c>
      <c r="E534" s="87"/>
      <c r="F534" s="88" t="b">
        <v>0</v>
      </c>
      <c r="G534" s="88" t="b">
        <f>IF(G445=TRUE,TRUE,FALSE)</f>
        <v>0</v>
      </c>
      <c r="H534" s="34" t="str">
        <f>IF(G534=TRUE,H445,"")</f>
        <v/>
      </c>
      <c r="I534" s="34"/>
      <c r="J534" s="14"/>
    </row>
    <row r="535" hidden="1">
      <c r="A535" s="90" t="str">
        <f>HYPERLINK("https://github.com/pytorch/pytorch/blob/f99ab991dcd3719ee25dd3377a53ea12e518308e/test/jit/test_tracer.py#L51", "TestTracer")</f>
        <v>TestTracer</v>
      </c>
      <c r="B535" s="91" t="s">
        <v>988</v>
      </c>
      <c r="C535" s="91"/>
      <c r="D535" s="91" t="s">
        <v>912</v>
      </c>
      <c r="E535" s="92"/>
      <c r="F535" s="93" t="b">
        <v>0</v>
      </c>
      <c r="G535" s="93" t="b">
        <f>IF(G445=TRUE,TRUE,FALSE)</f>
        <v>0</v>
      </c>
      <c r="H535" s="34" t="str">
        <f>IF(G535=TRUE,H445,"")</f>
        <v/>
      </c>
      <c r="I535" s="34"/>
      <c r="J535" s="14"/>
    </row>
    <row r="536" hidden="1">
      <c r="A536" s="85" t="str">
        <f>HYPERLINK("https://github.com/pytorch/pytorch/blob/f99ab991dcd3719ee25dd3377a53ea12e518308e/test/jit/test_tracer.py#L2236", "TestMixTracingScripting")</f>
        <v>TestMixTracingScripting</v>
      </c>
      <c r="B536" s="86" t="s">
        <v>988</v>
      </c>
      <c r="C536" s="86"/>
      <c r="D536" s="86" t="s">
        <v>912</v>
      </c>
      <c r="E536" s="87"/>
      <c r="F536" s="88" t="b">
        <v>0</v>
      </c>
      <c r="G536" s="88" t="b">
        <f>IF(G445=TRUE,TRUE,FALSE)</f>
        <v>0</v>
      </c>
      <c r="H536" s="34" t="str">
        <f>IF(G536=TRUE,H445,"")</f>
        <v/>
      </c>
      <c r="I536" s="34"/>
      <c r="J536" s="14"/>
    </row>
    <row r="537" hidden="1">
      <c r="A537" s="90" t="str">
        <f>HYPERLINK("https://github.com/pytorch/pytorch/blob/f99ab991dcd3719ee25dd3377a53ea12e518308e/test/jit/test_type_sharing.py#L20", "TestTypeSharing")</f>
        <v>TestTypeSharing</v>
      </c>
      <c r="B537" s="91" t="s">
        <v>989</v>
      </c>
      <c r="C537" s="91"/>
      <c r="D537" s="91" t="s">
        <v>912</v>
      </c>
      <c r="E537" s="92"/>
      <c r="F537" s="93" t="b">
        <v>0</v>
      </c>
      <c r="G537" s="93" t="b">
        <f>IF(G445=TRUE,TRUE,FALSE)</f>
        <v>0</v>
      </c>
      <c r="H537" s="34" t="str">
        <f>IF(G537=TRUE,H445,"")</f>
        <v/>
      </c>
      <c r="I537" s="34"/>
      <c r="J537" s="14"/>
    </row>
    <row r="538" hidden="1">
      <c r="A538" s="85" t="str">
        <f>HYPERLINK("https://github.com/pytorch/pytorch/blob/f99ab991dcd3719ee25dd3377a53ea12e518308e/test/jit/test_types.py#L24", "TestTypesAndAnnotation")</f>
        <v>TestTypesAndAnnotation</v>
      </c>
      <c r="B538" s="86" t="s">
        <v>990</v>
      </c>
      <c r="C538" s="86"/>
      <c r="D538" s="86" t="s">
        <v>912</v>
      </c>
      <c r="E538" s="87"/>
      <c r="F538" s="88" t="b">
        <v>0</v>
      </c>
      <c r="G538" s="88" t="b">
        <f>IF(G445=TRUE,TRUE,FALSE)</f>
        <v>0</v>
      </c>
      <c r="H538" s="34" t="str">
        <f>IF(G538=TRUE,H445,"")</f>
        <v/>
      </c>
      <c r="I538" s="34"/>
      <c r="J538" s="14"/>
    </row>
    <row r="539" hidden="1">
      <c r="A539" s="90" t="str">
        <f>HYPERLINK("https://github.com/pytorch/pytorch/blob/f99ab991dcd3719ee25dd3377a53ea12e518308e/test/jit/test_typing.py#L19", "TestTyping")</f>
        <v>TestTyping</v>
      </c>
      <c r="B539" s="91" t="s">
        <v>991</v>
      </c>
      <c r="C539" s="91"/>
      <c r="D539" s="91" t="s">
        <v>912</v>
      </c>
      <c r="E539" s="92"/>
      <c r="F539" s="93" t="b">
        <v>0</v>
      </c>
      <c r="G539" s="93" t="b">
        <f>IF(G445=TRUE,TRUE,FALSE)</f>
        <v>0</v>
      </c>
      <c r="H539" s="34" t="str">
        <f>IF(G539=TRUE,H445,"")</f>
        <v/>
      </c>
      <c r="I539" s="34"/>
      <c r="J539" s="14"/>
    </row>
    <row r="540" hidden="1">
      <c r="A540" s="85" t="str">
        <f>HYPERLINK("https://github.com/pytorch/pytorch/blob/f99ab991dcd3719ee25dd3377a53ea12e518308e/test/jit/test_union.py#L22", "TestUnion")</f>
        <v>TestUnion</v>
      </c>
      <c r="B540" s="86" t="s">
        <v>992</v>
      </c>
      <c r="C540" s="86"/>
      <c r="D540" s="86" t="s">
        <v>912</v>
      </c>
      <c r="E540" s="87"/>
      <c r="F540" s="88" t="b">
        <v>0</v>
      </c>
      <c r="G540" s="88" t="b">
        <f>IF(G445=TRUE,TRUE,FALSE)</f>
        <v>0</v>
      </c>
      <c r="H540" s="34" t="str">
        <f>IF(G540=TRUE,H445,"")</f>
        <v/>
      </c>
      <c r="I540" s="34"/>
      <c r="J540" s="14"/>
    </row>
    <row r="541" hidden="1">
      <c r="A541" s="90" t="str">
        <f>HYPERLINK("https://github.com/pytorch/pytorch/blob/f99ab991dcd3719ee25dd3377a53ea12e518308e/test/jit/test_union_pep604.py#L23", "TestUnion")</f>
        <v>TestUnion</v>
      </c>
      <c r="B541" s="91" t="s">
        <v>993</v>
      </c>
      <c r="C541" s="91"/>
      <c r="D541" s="91" t="s">
        <v>912</v>
      </c>
      <c r="E541" s="92"/>
      <c r="F541" s="93" t="b">
        <v>0</v>
      </c>
      <c r="G541" s="93" t="b">
        <f>IF(G445=TRUE,TRUE,FALSE)</f>
        <v>0</v>
      </c>
      <c r="H541" s="34" t="str">
        <f>IF(G541=TRUE,H445,"")</f>
        <v/>
      </c>
      <c r="I541" s="34"/>
      <c r="J541" s="14"/>
    </row>
    <row r="542" hidden="1">
      <c r="A542" s="85" t="str">
        <f>HYPERLINK("https://github.com/pytorch/pytorch/blob/f99ab991dcd3719ee25dd3377a53ea12e518308e/test/jit/test_unsupported_ops.py#L24", "TestUnsupportedOps")</f>
        <v>TestUnsupportedOps</v>
      </c>
      <c r="B542" s="86" t="s">
        <v>994</v>
      </c>
      <c r="C542" s="86"/>
      <c r="D542" s="86" t="s">
        <v>912</v>
      </c>
      <c r="E542" s="87"/>
      <c r="F542" s="88" t="b">
        <v>0</v>
      </c>
      <c r="G542" s="88" t="b">
        <f>IF(G445=TRUE,TRUE,FALSE)</f>
        <v>0</v>
      </c>
      <c r="H542" s="34" t="str">
        <f>IF(G542=TRUE,H445,"")</f>
        <v/>
      </c>
      <c r="I542" s="34"/>
      <c r="J542" s="14"/>
    </row>
    <row r="543" hidden="1">
      <c r="A543" s="90" t="str">
        <f>HYPERLINK("https://github.com/pytorch/pytorch/blob/f99ab991dcd3719ee25dd3377a53ea12e518308e/test/jit/test_upgraders.py#L20", "TestUpgraders")</f>
        <v>TestUpgraders</v>
      </c>
      <c r="B543" s="91" t="s">
        <v>995</v>
      </c>
      <c r="C543" s="91"/>
      <c r="D543" s="91" t="s">
        <v>912</v>
      </c>
      <c r="E543" s="92"/>
      <c r="F543" s="93" t="b">
        <v>0</v>
      </c>
      <c r="G543" s="93" t="b">
        <f>IF(G445=TRUE,TRUE,FALSE)</f>
        <v>0</v>
      </c>
      <c r="H543" s="34" t="str">
        <f>IF(G543=TRUE,H445,"")</f>
        <v/>
      </c>
      <c r="I543" s="34"/>
      <c r="J543" s="14"/>
    </row>
    <row r="544" hidden="1">
      <c r="A544" s="85" t="str">
        <f>HYPERLINK("https://github.com/pytorch/pytorch/blob/f99ab991dcd3719ee25dd3377a53ea12e518308e/test/jit/test_warn.py#L20", "TestWarn")</f>
        <v>TestWarn</v>
      </c>
      <c r="B544" s="86" t="s">
        <v>996</v>
      </c>
      <c r="C544" s="86"/>
      <c r="D544" s="86" t="s">
        <v>912</v>
      </c>
      <c r="E544" s="87"/>
      <c r="F544" s="88" t="b">
        <v>0</v>
      </c>
      <c r="G544" s="88" t="b">
        <f>IF(G445=TRUE,TRUE,FALSE)</f>
        <v>0</v>
      </c>
      <c r="H544" s="34" t="str">
        <f>IF(G544=TRUE,H445,"")</f>
        <v/>
      </c>
      <c r="I544" s="34"/>
      <c r="J544" s="14"/>
    </row>
    <row r="545" hidden="1">
      <c r="A545" s="90" t="str">
        <f>HYPERLINK("https://github.com/pytorch/pytorch/blob/f99ab991dcd3719ee25dd3377a53ea12e518308e/test/jit/test_with.py#L21", "TestWith")</f>
        <v>TestWith</v>
      </c>
      <c r="B545" s="91" t="s">
        <v>997</v>
      </c>
      <c r="C545" s="91"/>
      <c r="D545" s="91" t="s">
        <v>912</v>
      </c>
      <c r="E545" s="92"/>
      <c r="F545" s="93" t="b">
        <v>0</v>
      </c>
      <c r="G545" s="93" t="b">
        <f>IF(G445=TRUE,TRUE,FALSE)</f>
        <v>0</v>
      </c>
      <c r="H545" s="34" t="str">
        <f>IF(G545=TRUE,H445,"")</f>
        <v/>
      </c>
      <c r="I545" s="34"/>
      <c r="J545" s="14"/>
    </row>
    <row r="546" hidden="1">
      <c r="A546" s="85" t="str">
        <f>HYPERLINK("https://github.com/pytorch/pytorch/blob/f99ab991dcd3719ee25dd3377a53ea12e518308e/test/jit/xnnpack/test_xnnpack_delegate.py#L12", "TestXNNPackBackend")</f>
        <v>TestXNNPackBackend</v>
      </c>
      <c r="B546" s="86" t="s">
        <v>998</v>
      </c>
      <c r="C546" s="86"/>
      <c r="D546" s="86" t="s">
        <v>912</v>
      </c>
      <c r="E546" s="87"/>
      <c r="F546" s="88" t="b">
        <v>0</v>
      </c>
      <c r="G546" s="88" t="b">
        <f>IF(G445=TRUE,TRUE,FALSE)</f>
        <v>0</v>
      </c>
      <c r="H546" s="34" t="str">
        <f>IF(G546=TRUE,H445,"")</f>
        <v/>
      </c>
      <c r="I546" s="34"/>
      <c r="J546" s="14"/>
    </row>
    <row r="547" hidden="1">
      <c r="A547" s="9" t="s">
        <v>999</v>
      </c>
      <c r="B547" s="10"/>
      <c r="C547" s="10"/>
      <c r="D547" s="10"/>
      <c r="E547" s="11"/>
      <c r="F547" s="12"/>
      <c r="G547" s="12"/>
      <c r="H547" s="12"/>
      <c r="I547" s="12"/>
      <c r="J547" s="14"/>
    </row>
    <row r="548" hidden="1">
      <c r="A548" s="15" t="s">
        <v>1000</v>
      </c>
      <c r="B548" s="16"/>
      <c r="C548" s="16"/>
      <c r="D548" s="16"/>
      <c r="E548" s="17"/>
      <c r="F548" s="18" t="b">
        <v>1</v>
      </c>
      <c r="G548" s="18" t="b">
        <v>0</v>
      </c>
      <c r="H548" s="20"/>
      <c r="I548" s="20"/>
      <c r="J548" s="14"/>
    </row>
    <row r="549" hidden="1">
      <c r="A549" s="90" t="str">
        <f>HYPERLINK("https://github.com/pytorch/pytorch/blob/f99ab991dcd3719ee25dd3377a53ea12e518308e/test/quantization/ao_migration/common.py#L7", "AOMigrationTestCase")</f>
        <v>AOMigrationTestCase</v>
      </c>
      <c r="B549" s="91" t="s">
        <v>1001</v>
      </c>
      <c r="C549" s="91"/>
      <c r="D549" s="91" t="s">
        <v>912</v>
      </c>
      <c r="E549" s="92"/>
      <c r="F549" s="93" t="b">
        <v>0</v>
      </c>
      <c r="G549" s="93" t="b">
        <f>IF(G548=TRUE,TRUE,FALSE)</f>
        <v>0</v>
      </c>
      <c r="H549" s="34" t="str">
        <f>IF(G549=TRUE,H548,"")</f>
        <v/>
      </c>
      <c r="I549" s="34"/>
      <c r="J549" s="14"/>
    </row>
    <row r="550" hidden="1">
      <c r="A550" s="85" t="str">
        <f>HYPERLINK("https://github.com/pytorch/pytorch/blob/f99ab991dcd3719ee25dd3377a53ea12e518308e/test/quantization/ao_migration/test_ao_migration.py#L8", "TestAOMigrationNNQuantized")</f>
        <v>TestAOMigrationNNQuantized</v>
      </c>
      <c r="B550" s="86" t="s">
        <v>1002</v>
      </c>
      <c r="C550" s="86"/>
      <c r="D550" s="86" t="s">
        <v>912</v>
      </c>
      <c r="E550" s="87"/>
      <c r="F550" s="88" t="b">
        <v>0</v>
      </c>
      <c r="G550" s="88" t="b">
        <f>IF(G548=TRUE,TRUE,FALSE)</f>
        <v>0</v>
      </c>
      <c r="H550" s="34" t="str">
        <f>IF(G550=TRUE,H548,"")</f>
        <v/>
      </c>
      <c r="I550" s="34"/>
      <c r="J550" s="14"/>
    </row>
    <row r="551" hidden="1">
      <c r="A551" s="90" t="str">
        <f>HYPERLINK("https://github.com/pytorch/pytorch/blob/f99ab991dcd3719ee25dd3377a53ea12e518308e/test/quantization/ao_migration/test_ao_migration.py#L228", "TestAOMigrationNNIntrinsic")</f>
        <v>TestAOMigrationNNIntrinsic</v>
      </c>
      <c r="B551" s="91" t="s">
        <v>1002</v>
      </c>
      <c r="C551" s="91"/>
      <c r="D551" s="91" t="s">
        <v>912</v>
      </c>
      <c r="E551" s="92"/>
      <c r="F551" s="93" t="b">
        <v>0</v>
      </c>
      <c r="G551" s="93" t="b">
        <f>IF(G548=TRUE,TRUE,FALSE)</f>
        <v>0</v>
      </c>
      <c r="H551" s="34" t="str">
        <f>IF(G551=TRUE,H548,"")</f>
        <v/>
      </c>
      <c r="I551" s="34"/>
      <c r="J551" s="14"/>
    </row>
    <row r="552" hidden="1">
      <c r="A552" s="85" t="str">
        <f>HYPERLINK("https://github.com/pytorch/pytorch/blob/f99ab991dcd3719ee25dd3377a53ea12e518308e/test/quantization/ao_migration/test_quantization.py#L8", "TestAOMigrationQuantization")</f>
        <v>TestAOMigrationQuantization</v>
      </c>
      <c r="B552" s="86" t="s">
        <v>1003</v>
      </c>
      <c r="C552" s="86"/>
      <c r="D552" s="86" t="s">
        <v>912</v>
      </c>
      <c r="E552" s="87"/>
      <c r="F552" s="88" t="b">
        <v>0</v>
      </c>
      <c r="G552" s="88" t="b">
        <f>IF(G548=TRUE,TRUE,FALSE)</f>
        <v>0</v>
      </c>
      <c r="H552" s="34" t="str">
        <f>IF(G552=TRUE,H548,"")</f>
        <v/>
      </c>
      <c r="I552" s="34"/>
      <c r="J552" s="14"/>
    </row>
    <row r="553" hidden="1">
      <c r="A553" s="90" t="str">
        <f>HYPERLINK("https://github.com/pytorch/pytorch/blob/f99ab991dcd3719ee25dd3377a53ea12e518308e/test/quantization/ao_migration/test_quantization_fx.py#L8", "TestAOMigrationQuantizationFx")</f>
        <v>TestAOMigrationQuantizationFx</v>
      </c>
      <c r="B553" s="91" t="s">
        <v>1004</v>
      </c>
      <c r="C553" s="91"/>
      <c r="D553" s="91" t="s">
        <v>912</v>
      </c>
      <c r="E553" s="92"/>
      <c r="F553" s="93" t="b">
        <v>0</v>
      </c>
      <c r="G553" s="93" t="b">
        <f>IF(G548=TRUE,TRUE,FALSE)</f>
        <v>0</v>
      </c>
      <c r="H553" s="34" t="str">
        <f>IF(G553=TRUE,H548,"")</f>
        <v/>
      </c>
      <c r="I553" s="34"/>
      <c r="J553" s="14"/>
    </row>
    <row r="554" hidden="1">
      <c r="A554" s="85" t="str">
        <f>HYPERLINK("https://github.com/pytorch/pytorch/blob/f99ab991dcd3719ee25dd3377a53ea12e518308e/test/quantization/bc/test_backward_compatibility.py#L70", "TestSerialization")</f>
        <v>TestSerialization</v>
      </c>
      <c r="B554" s="86" t="s">
        <v>1005</v>
      </c>
      <c r="C554" s="86"/>
      <c r="D554" s="86" t="s">
        <v>912</v>
      </c>
      <c r="E554" s="87"/>
      <c r="F554" s="88" t="b">
        <v>0</v>
      </c>
      <c r="G554" s="88" t="b">
        <f>IF(G548=TRUE,TRUE,FALSE)</f>
        <v>0</v>
      </c>
      <c r="H554" s="34" t="str">
        <f>IF(G554=TRUE,H548,"")</f>
        <v/>
      </c>
      <c r="I554" s="34"/>
      <c r="J554" s="14"/>
    </row>
    <row r="555" hidden="1">
      <c r="A555" s="90" t="str">
        <f>HYPERLINK("https://github.com/pytorch/pytorch/blob/f99ab991dcd3719ee25dd3377a53ea12e518308e/test/quantization/core/experimental/test_adaround_eager.py#L23", "TestAdaround")</f>
        <v>TestAdaround</v>
      </c>
      <c r="B555" s="91" t="s">
        <v>1006</v>
      </c>
      <c r="C555" s="91"/>
      <c r="D555" s="91" t="s">
        <v>912</v>
      </c>
      <c r="E555" s="92"/>
      <c r="F555" s="93" t="b">
        <v>0</v>
      </c>
      <c r="G555" s="93" t="b">
        <f>IF(G548=TRUE,TRUE,FALSE)</f>
        <v>0</v>
      </c>
      <c r="H555" s="34" t="str">
        <f>IF(G555=TRUE,H548,"")</f>
        <v/>
      </c>
      <c r="I555" s="34"/>
      <c r="J555" s="14"/>
    </row>
    <row r="556" hidden="1">
      <c r="A556" s="85" t="str">
        <f>HYPERLINK("https://github.com/pytorch/pytorch/blob/f99ab991dcd3719ee25dd3377a53ea12e518308e/test/quantization/core/experimental/test_bits.py#L53", "TestBits")</f>
        <v>TestBits</v>
      </c>
      <c r="B556" s="86" t="s">
        <v>1007</v>
      </c>
      <c r="C556" s="86"/>
      <c r="D556" s="86" t="s">
        <v>912</v>
      </c>
      <c r="E556" s="87"/>
      <c r="F556" s="88" t="b">
        <v>0</v>
      </c>
      <c r="G556" s="88" t="b">
        <f>IF(G548=TRUE,TRUE,FALSE)</f>
        <v>0</v>
      </c>
      <c r="H556" s="34" t="str">
        <f>IF(G556=TRUE,H548,"")</f>
        <v/>
      </c>
      <c r="I556" s="34"/>
      <c r="J556" s="14"/>
    </row>
    <row r="557" hidden="1">
      <c r="A557" s="90" t="str">
        <f>HYPERLINK("https://github.com/pytorch/pytorch/blob/f99ab991dcd3719ee25dd3377a53ea12e518308e/test/quantization/core/experimental/test_fake_quantize.py#L13", "TestFakeQuantize")</f>
        <v>TestFakeQuantize</v>
      </c>
      <c r="B557" s="91" t="s">
        <v>1008</v>
      </c>
      <c r="C557" s="91"/>
      <c r="D557" s="91" t="s">
        <v>912</v>
      </c>
      <c r="E557" s="92"/>
      <c r="F557" s="93" t="b">
        <v>0</v>
      </c>
      <c r="G557" s="93" t="b">
        <f>IF(G548=TRUE,TRUE,FALSE)</f>
        <v>0</v>
      </c>
      <c r="H557" s="34" t="str">
        <f>IF(G557=TRUE,H548,"")</f>
        <v/>
      </c>
      <c r="I557" s="34"/>
      <c r="J557" s="14"/>
    </row>
    <row r="558" hidden="1">
      <c r="A558" s="90" t="str">
        <f>HYPERLINK("https://github.com/pytorch/pytorch/blob/f99ab991dcd3719ee25dd3377a53ea12e518308e/test/quantization/core/experimental/test_linear.py#L8", "TestNonUniformObserver")</f>
        <v>TestNonUniformObserver</v>
      </c>
      <c r="B558" s="91" t="s">
        <v>1009</v>
      </c>
      <c r="C558" s="91"/>
      <c r="D558" s="91" t="s">
        <v>912</v>
      </c>
      <c r="E558" s="92"/>
      <c r="F558" s="93" t="b">
        <v>0</v>
      </c>
      <c r="G558" s="93" t="b">
        <f>IF(G548=TRUE,TRUE,FALSE)</f>
        <v>0</v>
      </c>
      <c r="H558" s="34" t="str">
        <f>IF(G558=TRUE,H548,"")</f>
        <v/>
      </c>
      <c r="I558" s="34"/>
      <c r="J558" s="14"/>
    </row>
    <row r="559" hidden="1">
      <c r="A559" s="85" t="str">
        <f>HYPERLINK("https://github.com/pytorch/pytorch/blob/f99ab991dcd3719ee25dd3377a53ea12e518308e/test/quantization/core/experimental/test_nonuniform_observer.py#L8", "TestNonUniformObserver")</f>
        <v>TestNonUniformObserver</v>
      </c>
      <c r="B559" s="86" t="s">
        <v>1010</v>
      </c>
      <c r="C559" s="86"/>
      <c r="D559" s="86" t="s">
        <v>912</v>
      </c>
      <c r="E559" s="87"/>
      <c r="F559" s="88" t="b">
        <v>0</v>
      </c>
      <c r="G559" s="88" t="b">
        <f>IF(G548=TRUE,TRUE,FALSE)</f>
        <v>0</v>
      </c>
      <c r="H559" s="34" t="str">
        <f>IF(G559=TRUE,H548,"")</f>
        <v/>
      </c>
      <c r="I559" s="34"/>
      <c r="J559" s="14"/>
    </row>
    <row r="560" hidden="1">
      <c r="A560" s="90" t="str">
        <f>HYPERLINK("https://github.com/pytorch/pytorch/blob/f99ab991dcd3719ee25dd3377a53ea12e518308e/test/quantization/core/experimental/test_quantized_tensor.py#L8", "TestQuantizedTensor")</f>
        <v>TestQuantizedTensor</v>
      </c>
      <c r="B560" s="91" t="s">
        <v>1011</v>
      </c>
      <c r="C560" s="91"/>
      <c r="D560" s="91" t="s">
        <v>912</v>
      </c>
      <c r="E560" s="92"/>
      <c r="F560" s="93" t="b">
        <v>0</v>
      </c>
      <c r="G560" s="93" t="b">
        <f>IF(G548=TRUE,TRUE,FALSE)</f>
        <v>0</v>
      </c>
      <c r="H560" s="34" t="str">
        <f>IF(G560=TRUE,H548,"")</f>
        <v/>
      </c>
      <c r="I560" s="34"/>
      <c r="J560" s="14"/>
    </row>
    <row r="561" hidden="1">
      <c r="A561" s="85" t="str">
        <f>HYPERLINK("https://github.com/pytorch/pytorch/blob/f99ab991dcd3719ee25dd3377a53ea12e518308e/test/quantization/core/experimental/test_quantizer.py#L11", "TestQuantizer")</f>
        <v>TestQuantizer</v>
      </c>
      <c r="B561" s="86" t="s">
        <v>1012</v>
      </c>
      <c r="C561" s="86"/>
      <c r="D561" s="86" t="s">
        <v>912</v>
      </c>
      <c r="E561" s="87"/>
      <c r="F561" s="88" t="b">
        <v>0</v>
      </c>
      <c r="G561" s="88" t="b">
        <f>IF(G548=TRUE,TRUE,FALSE)</f>
        <v>0</v>
      </c>
      <c r="H561" s="34" t="str">
        <f>IF(G561=TRUE,H548,"")</f>
        <v/>
      </c>
      <c r="I561" s="34"/>
      <c r="J561" s="14"/>
    </row>
    <row r="562" hidden="1">
      <c r="A562" s="90" t="str">
        <f>HYPERLINK("https://github.com/pytorch/pytorch/blob/f99ab991dcd3719ee25dd3377a53ea12e518308e/test/quantization/core/test_backend_config.py#L20", "TestBackendConfig")</f>
        <v>TestBackendConfig</v>
      </c>
      <c r="B562" s="91" t="s">
        <v>1013</v>
      </c>
      <c r="C562" s="91"/>
      <c r="D562" s="91" t="s">
        <v>912</v>
      </c>
      <c r="E562" s="92"/>
      <c r="F562" s="93" t="b">
        <v>0</v>
      </c>
      <c r="G562" s="93" t="b">
        <f>IF(G548=TRUE,TRUE,FALSE)</f>
        <v>0</v>
      </c>
      <c r="H562" s="34" t="str">
        <f>IF(G562=TRUE,H548,"")</f>
        <v/>
      </c>
      <c r="I562" s="34"/>
      <c r="J562" s="14"/>
    </row>
    <row r="563" hidden="1">
      <c r="A563" s="85" t="str">
        <f>HYPERLINK("https://github.com/pytorch/pytorch/blob/f99ab991dcd3719ee25dd3377a53ea12e518308e/test/quantization/core/test_quantized_functional.py#L21", "TestQuantizedFunctionalOps")</f>
        <v>TestQuantizedFunctionalOps</v>
      </c>
      <c r="B563" s="86" t="s">
        <v>1014</v>
      </c>
      <c r="C563" s="86"/>
      <c r="D563" s="86" t="s">
        <v>912</v>
      </c>
      <c r="E563" s="87"/>
      <c r="F563" s="88" t="b">
        <v>0</v>
      </c>
      <c r="G563" s="88" t="b">
        <f>IF(G548=TRUE,TRUE,FALSE)</f>
        <v>0</v>
      </c>
      <c r="H563" s="34" t="str">
        <f>IF(G563=TRUE,H548,"")</f>
        <v/>
      </c>
      <c r="I563" s="34"/>
      <c r="J563" s="14"/>
    </row>
    <row r="564" hidden="1">
      <c r="A564" s="90" t="str">
        <f>HYPERLINK("https://github.com/pytorch/pytorch/blob/f99ab991dcd3719ee25dd3377a53ea12e518308e/test/quantization/core/test_quantized_module.py#L53", "TestStaticQuantizedModule")</f>
        <v>TestStaticQuantizedModule</v>
      </c>
      <c r="B564" s="91" t="s">
        <v>1015</v>
      </c>
      <c r="C564" s="91"/>
      <c r="D564" s="91" t="s">
        <v>912</v>
      </c>
      <c r="E564" s="92"/>
      <c r="F564" s="93" t="b">
        <v>0</v>
      </c>
      <c r="G564" s="93" t="b">
        <f>IF(G548=TRUE,TRUE,FALSE)</f>
        <v>0</v>
      </c>
      <c r="H564" s="34" t="str">
        <f>IF(G564=TRUE,H548,"")</f>
        <v/>
      </c>
      <c r="I564" s="34"/>
      <c r="J564" s="14"/>
    </row>
    <row r="565" hidden="1">
      <c r="A565" s="85" t="str">
        <f>HYPERLINK("https://github.com/pytorch/pytorch/blob/f99ab991dcd3719ee25dd3377a53ea12e518308e/test/quantization/core/test_quantized_module.py#L1413", "TestDynamicQuantizedModule")</f>
        <v>TestDynamicQuantizedModule</v>
      </c>
      <c r="B565" s="86" t="s">
        <v>1015</v>
      </c>
      <c r="C565" s="86"/>
      <c r="D565" s="86" t="s">
        <v>912</v>
      </c>
      <c r="E565" s="87"/>
      <c r="F565" s="88" t="b">
        <v>0</v>
      </c>
      <c r="G565" s="88" t="b">
        <f>IF(G548=TRUE,TRUE,FALSE)</f>
        <v>0</v>
      </c>
      <c r="H565" s="34" t="str">
        <f>IF(G565=TRUE,H548,"")</f>
        <v/>
      </c>
      <c r="I565" s="34"/>
      <c r="J565" s="14"/>
    </row>
    <row r="566" hidden="1">
      <c r="A566" s="90" t="str">
        <f>HYPERLINK("https://github.com/pytorch/pytorch/blob/f99ab991dcd3719ee25dd3377a53ea12e518308e/test/quantization/core/test_quantized_module.py#L1874", "TestReferenceQuantizedModule")</f>
        <v>TestReferenceQuantizedModule</v>
      </c>
      <c r="B566" s="91" t="s">
        <v>1015</v>
      </c>
      <c r="C566" s="91"/>
      <c r="D566" s="91" t="s">
        <v>912</v>
      </c>
      <c r="E566" s="92"/>
      <c r="F566" s="93" t="b">
        <v>0</v>
      </c>
      <c r="G566" s="93" t="b">
        <f>IF(G548=TRUE,TRUE,FALSE)</f>
        <v>0</v>
      </c>
      <c r="H566" s="34" t="str">
        <f>IF(G566=TRUE,H548,"")</f>
        <v/>
      </c>
      <c r="I566" s="34"/>
      <c r="J566" s="14"/>
    </row>
    <row r="567" hidden="1">
      <c r="A567" s="85" t="str">
        <f>HYPERLINK("https://github.com/pytorch/pytorch/blob/f99ab991dcd3719ee25dd3377a53ea12e518308e/test/quantization/core/test_quantized_op.py#L194", "TestQuantizedOps")</f>
        <v>TestQuantizedOps</v>
      </c>
      <c r="B567" s="86" t="s">
        <v>1016</v>
      </c>
      <c r="C567" s="86"/>
      <c r="D567" s="86" t="s">
        <v>912</v>
      </c>
      <c r="E567" s="87"/>
      <c r="F567" s="88" t="b">
        <v>0</v>
      </c>
      <c r="G567" s="88" t="b">
        <f>IF(G548=TRUE,TRUE,FALSE)</f>
        <v>0</v>
      </c>
      <c r="H567" s="34" t="str">
        <f>IF(G567=TRUE,H548,"")</f>
        <v/>
      </c>
      <c r="I567" s="34"/>
      <c r="J567" s="14"/>
    </row>
    <row r="568" hidden="1">
      <c r="A568" s="90" t="str">
        <f>HYPERLINK("https://github.com/pytorch/pytorch/blob/f99ab991dcd3719ee25dd3377a53ea12e518308e/test/quantization/core/test_quantized_op.py#L3304", "TestDynamicQuantizedOps")</f>
        <v>TestDynamicQuantizedOps</v>
      </c>
      <c r="B568" s="91" t="s">
        <v>1016</v>
      </c>
      <c r="C568" s="91"/>
      <c r="D568" s="91" t="s">
        <v>912</v>
      </c>
      <c r="E568" s="92"/>
      <c r="F568" s="93" t="b">
        <v>0</v>
      </c>
      <c r="G568" s="93" t="b">
        <f>IF(G548=TRUE,TRUE,FALSE)</f>
        <v>0</v>
      </c>
      <c r="H568" s="34" t="str">
        <f>IF(G568=TRUE,H548,"")</f>
        <v/>
      </c>
      <c r="I568" s="34"/>
      <c r="J568" s="14"/>
    </row>
    <row r="569" hidden="1">
      <c r="A569" s="85" t="str">
        <f>HYPERLINK("https://github.com/pytorch/pytorch/blob/f99ab991dcd3719ee25dd3377a53ea12e518308e/test/quantization/core/test_quantized_op.py#L3990", "TestQuantizedLinear")</f>
        <v>TestQuantizedLinear</v>
      </c>
      <c r="B569" s="86" t="s">
        <v>1016</v>
      </c>
      <c r="C569" s="86"/>
      <c r="D569" s="86" t="s">
        <v>912</v>
      </c>
      <c r="E569" s="87"/>
      <c r="F569" s="88" t="b">
        <v>0</v>
      </c>
      <c r="G569" s="88" t="b">
        <f>IF(G548=TRUE,TRUE,FALSE)</f>
        <v>0</v>
      </c>
      <c r="H569" s="34" t="str">
        <f>IF(G569=TRUE,H548,"")</f>
        <v/>
      </c>
      <c r="I569" s="34"/>
      <c r="J569" s="14"/>
    </row>
    <row r="570" hidden="1">
      <c r="A570" s="90" t="str">
        <f>HYPERLINK("https://github.com/pytorch/pytorch/blob/f99ab991dcd3719ee25dd3377a53ea12e518308e/test/quantization/core/test_quantized_op.py#L4922", "TestQuantizedEmbeddingOps")</f>
        <v>TestQuantizedEmbeddingOps</v>
      </c>
      <c r="B570" s="91" t="s">
        <v>1016</v>
      </c>
      <c r="C570" s="91"/>
      <c r="D570" s="91" t="s">
        <v>912</v>
      </c>
      <c r="E570" s="92"/>
      <c r="F570" s="93" t="b">
        <v>0</v>
      </c>
      <c r="G570" s="93" t="b">
        <f>IF(G548=TRUE,TRUE,FALSE)</f>
        <v>0</v>
      </c>
      <c r="H570" s="34" t="str">
        <f>IF(G570=TRUE,H548,"")</f>
        <v/>
      </c>
      <c r="I570" s="34"/>
      <c r="J570" s="14"/>
    </row>
    <row r="571" hidden="1">
      <c r="A571" s="85" t="str">
        <f>HYPERLINK("https://github.com/pytorch/pytorch/blob/f99ab991dcd3719ee25dd3377a53ea12e518308e/test/quantization/core/test_quantized_op.py#L5281", "TestQuantizedConv")</f>
        <v>TestQuantizedConv</v>
      </c>
      <c r="B571" s="86" t="s">
        <v>1016</v>
      </c>
      <c r="C571" s="86"/>
      <c r="D571" s="86" t="s">
        <v>912</v>
      </c>
      <c r="E571" s="87"/>
      <c r="F571" s="88" t="b">
        <v>0</v>
      </c>
      <c r="G571" s="88" t="b">
        <f>IF(G548=TRUE,TRUE,FALSE)</f>
        <v>0</v>
      </c>
      <c r="H571" s="34" t="str">
        <f>IF(G571=TRUE,H548,"")</f>
        <v/>
      </c>
      <c r="I571" s="34"/>
      <c r="J571" s="14"/>
    </row>
    <row r="572" hidden="1">
      <c r="A572" s="90" t="str">
        <f>HYPERLINK("https://github.com/pytorch/pytorch/blob/f99ab991dcd3719ee25dd3377a53ea12e518308e/test/quantization/core/test_quantized_op.py#L8207", "TestPadding")</f>
        <v>TestPadding</v>
      </c>
      <c r="B572" s="91" t="s">
        <v>1016</v>
      </c>
      <c r="C572" s="91"/>
      <c r="D572" s="91" t="s">
        <v>912</v>
      </c>
      <c r="E572" s="92"/>
      <c r="F572" s="93" t="b">
        <v>0</v>
      </c>
      <c r="G572" s="93" t="b">
        <f>IF(G548=TRUE,TRUE,FALSE)</f>
        <v>0</v>
      </c>
      <c r="H572" s="34" t="str">
        <f>IF(G572=TRUE,H548,"")</f>
        <v/>
      </c>
      <c r="I572" s="34"/>
      <c r="J572" s="14"/>
    </row>
    <row r="573" hidden="1">
      <c r="A573" s="85" t="str">
        <f>HYPERLINK("https://github.com/pytorch/pytorch/blob/f99ab991dcd3719ee25dd3377a53ea12e518308e/test/quantization/core/test_quantized_op.py#L8293", "TestQNNPackOps")</f>
        <v>TestQNNPackOps</v>
      </c>
      <c r="B573" s="86" t="s">
        <v>1016</v>
      </c>
      <c r="C573" s="86"/>
      <c r="D573" s="86" t="s">
        <v>912</v>
      </c>
      <c r="E573" s="87"/>
      <c r="F573" s="88" t="b">
        <v>0</v>
      </c>
      <c r="G573" s="88" t="b">
        <f>IF(G548=TRUE,TRUE,FALSE)</f>
        <v>0</v>
      </c>
      <c r="H573" s="34" t="str">
        <f>IF(G573=TRUE,H548,"")</f>
        <v/>
      </c>
      <c r="I573" s="34"/>
      <c r="J573" s="14"/>
    </row>
    <row r="574" hidden="1">
      <c r="A574" s="90" t="str">
        <f>HYPERLINK("https://github.com/pytorch/pytorch/blob/f99ab991dcd3719ee25dd3377a53ea12e518308e/test/quantization/core/test_quantized_op.py#L8771", "TestComparatorOps")</f>
        <v>TestComparatorOps</v>
      </c>
      <c r="B574" s="91" t="s">
        <v>1016</v>
      </c>
      <c r="C574" s="91"/>
      <c r="D574" s="91" t="s">
        <v>912</v>
      </c>
      <c r="E574" s="92"/>
      <c r="F574" s="93" t="b">
        <v>0</v>
      </c>
      <c r="G574" s="93" t="b">
        <f>IF(G548=TRUE,TRUE,FALSE)</f>
        <v>0</v>
      </c>
      <c r="H574" s="34" t="str">
        <f>IF(G574=TRUE,H548,"")</f>
        <v/>
      </c>
      <c r="I574" s="34"/>
      <c r="J574" s="14"/>
    </row>
    <row r="575" hidden="1">
      <c r="A575" s="85" t="str">
        <f>HYPERLINK("https://github.com/pytorch/pytorch/blob/f99ab991dcd3719ee25dd3377a53ea12e518308e/test/quantization/core/test_quantized_op.py#L8843", "TestQuantizedWithMinMax")</f>
        <v>TestQuantizedWithMinMax</v>
      </c>
      <c r="B575" s="86" t="s">
        <v>1016</v>
      </c>
      <c r="C575" s="86"/>
      <c r="D575" s="86" t="s">
        <v>912</v>
      </c>
      <c r="E575" s="87"/>
      <c r="F575" s="88" t="b">
        <v>0</v>
      </c>
      <c r="G575" s="88" t="b">
        <f>IF(G548=TRUE,TRUE,FALSE)</f>
        <v>0</v>
      </c>
      <c r="H575" s="34" t="str">
        <f>IF(G575=TRUE,H548,"")</f>
        <v/>
      </c>
      <c r="I575" s="34"/>
      <c r="J575" s="14"/>
    </row>
    <row r="576" hidden="1">
      <c r="A576" s="90" t="str">
        <f>HYPERLINK("https://github.com/pytorch/pytorch/blob/f99ab991dcd3719ee25dd3377a53ea12e518308e/test/quantization/core/test_quantized_tensor.py#L142", "TestQuantizedTensor")</f>
        <v>TestQuantizedTensor</v>
      </c>
      <c r="B576" s="91" t="s">
        <v>1017</v>
      </c>
      <c r="C576" s="91"/>
      <c r="D576" s="91" t="s">
        <v>912</v>
      </c>
      <c r="E576" s="92"/>
      <c r="F576" s="93" t="b">
        <v>0</v>
      </c>
      <c r="G576" s="93" t="b">
        <f>IF(G548=TRUE,TRUE,FALSE)</f>
        <v>0</v>
      </c>
      <c r="H576" s="34" t="str">
        <f>IF(G576=TRUE,H548,"")</f>
        <v/>
      </c>
      <c r="I576" s="34"/>
      <c r="J576" s="14"/>
    </row>
    <row r="577" hidden="1">
      <c r="A577" s="85" t="str">
        <f>HYPERLINK("https://github.com/pytorch/pytorch/blob/f99ab991dcd3719ee25dd3377a53ea12e518308e/test/quantization/core/test_top_level_apis.py#L8", "TestDefaultObservers")</f>
        <v>TestDefaultObservers</v>
      </c>
      <c r="B577" s="86" t="s">
        <v>1018</v>
      </c>
      <c r="C577" s="86"/>
      <c r="D577" s="86" t="s">
        <v>912</v>
      </c>
      <c r="E577" s="87"/>
      <c r="F577" s="88" t="b">
        <v>0</v>
      </c>
      <c r="G577" s="88" t="b">
        <f>IF(G548=TRUE,TRUE,FALSE)</f>
        <v>0</v>
      </c>
      <c r="H577" s="34" t="str">
        <f>IF(G577=TRUE,H548,"")</f>
        <v/>
      </c>
      <c r="I577" s="34"/>
      <c r="J577" s="14"/>
    </row>
    <row r="578" hidden="1">
      <c r="A578" s="90" t="str">
        <f>HYPERLINK("https://github.com/pytorch/pytorch/blob/f99ab991dcd3719ee25dd3377a53ea12e518308e/test/quantization/core/test_top_level_apis.py#L64", "TestQConfig")</f>
        <v>TestQConfig</v>
      </c>
      <c r="B578" s="91" t="s">
        <v>1018</v>
      </c>
      <c r="C578" s="91"/>
      <c r="D578" s="91" t="s">
        <v>912</v>
      </c>
      <c r="E578" s="92"/>
      <c r="F578" s="93" t="b">
        <v>0</v>
      </c>
      <c r="G578" s="93" t="b">
        <f>IF(G548=TRUE,TRUE,FALSE)</f>
        <v>0</v>
      </c>
      <c r="H578" s="34" t="str">
        <f>IF(G578=TRUE,H548,"")</f>
        <v/>
      </c>
      <c r="I578" s="34"/>
      <c r="J578" s="14"/>
    </row>
    <row r="579" hidden="1">
      <c r="A579" s="85" t="str">
        <f>HYPERLINK("https://github.com/pytorch/pytorch/blob/f99ab991dcd3719ee25dd3377a53ea12e518308e/test/quantization/core/test_utils.py#L10", "TestUtils")</f>
        <v>TestUtils</v>
      </c>
      <c r="B579" s="86" t="s">
        <v>1019</v>
      </c>
      <c r="C579" s="86"/>
      <c r="D579" s="86" t="s">
        <v>912</v>
      </c>
      <c r="E579" s="87"/>
      <c r="F579" s="88" t="b">
        <v>0</v>
      </c>
      <c r="G579" s="88" t="b">
        <f>IF(G548=TRUE,TRUE,FALSE)</f>
        <v>0</v>
      </c>
      <c r="H579" s="34" t="str">
        <f>IF(G579=TRUE,H548,"")</f>
        <v/>
      </c>
      <c r="I579" s="34"/>
      <c r="J579" s="14"/>
    </row>
    <row r="580" hidden="1">
      <c r="A580" s="90" t="str">
        <f>HYPERLINK("https://github.com/pytorch/pytorch/blob/f99ab991dcd3719ee25dd3377a53ea12e518308e/test/quantization/core/test_workflow_module.py#L82", "TestObserver")</f>
        <v>TestObserver</v>
      </c>
      <c r="B580" s="91" t="s">
        <v>1020</v>
      </c>
      <c r="C580" s="91"/>
      <c r="D580" s="91" t="s">
        <v>912</v>
      </c>
      <c r="E580" s="92"/>
      <c r="F580" s="93" t="b">
        <v>0</v>
      </c>
      <c r="G580" s="93" t="b">
        <f>IF(G548=TRUE,TRUE,FALSE)</f>
        <v>0</v>
      </c>
      <c r="H580" s="34" t="str">
        <f>IF(G580=TRUE,H548,"")</f>
        <v/>
      </c>
      <c r="I580" s="34"/>
      <c r="J580" s="14"/>
    </row>
    <row r="581" hidden="1">
      <c r="A581" s="85" t="str">
        <f>HYPERLINK("https://github.com/pytorch/pytorch/blob/f99ab991dcd3719ee25dd3377a53ea12e518308e/test/quantization/core/test_workflow_module.py#L639", "TestRecordHistogramObserver")</f>
        <v>TestRecordHistogramObserver</v>
      </c>
      <c r="B581" s="86" t="s">
        <v>1020</v>
      </c>
      <c r="C581" s="86"/>
      <c r="D581" s="86" t="s">
        <v>912</v>
      </c>
      <c r="E581" s="87"/>
      <c r="F581" s="88" t="b">
        <v>0</v>
      </c>
      <c r="G581" s="88" t="b">
        <f>IF(G548=TRUE,TRUE,FALSE)</f>
        <v>0</v>
      </c>
      <c r="H581" s="34" t="str">
        <f>IF(G581=TRUE,H548,"")</f>
        <v/>
      </c>
      <c r="I581" s="34"/>
      <c r="J581" s="14"/>
    </row>
    <row r="582" hidden="1">
      <c r="A582" s="90" t="str">
        <f>HYPERLINK("https://github.com/pytorch/pytorch/blob/f99ab991dcd3719ee25dd3377a53ea12e518308e/test/quantization/core/test_workflow_module.py#L675", "TestHistogramObserver")</f>
        <v>TestHistogramObserver</v>
      </c>
      <c r="B582" s="91" t="s">
        <v>1020</v>
      </c>
      <c r="C582" s="91"/>
      <c r="D582" s="91" t="s">
        <v>912</v>
      </c>
      <c r="E582" s="92"/>
      <c r="F582" s="93" t="b">
        <v>0</v>
      </c>
      <c r="G582" s="93" t="b">
        <f>IF(G548=TRUE,TRUE,FALSE)</f>
        <v>0</v>
      </c>
      <c r="H582" s="34" t="str">
        <f>IF(G582=TRUE,H548,"")</f>
        <v/>
      </c>
      <c r="I582" s="34"/>
      <c r="J582" s="14"/>
    </row>
    <row r="583" hidden="1">
      <c r="A583" s="85" t="str">
        <f>HYPERLINK("https://github.com/pytorch/pytorch/blob/f99ab991dcd3719ee25dd3377a53ea12e518308e/test/quantization/core/test_workflow_module.py#L856", "TestFakeQuantize")</f>
        <v>TestFakeQuantize</v>
      </c>
      <c r="B583" s="86" t="s">
        <v>1020</v>
      </c>
      <c r="C583" s="86"/>
      <c r="D583" s="86" t="s">
        <v>912</v>
      </c>
      <c r="E583" s="87"/>
      <c r="F583" s="88" t="b">
        <v>0</v>
      </c>
      <c r="G583" s="88" t="b">
        <f>IF(G548=TRUE,TRUE,FALSE)</f>
        <v>0</v>
      </c>
      <c r="H583" s="34" t="str">
        <f>IF(G583=TRUE,H548,"")</f>
        <v/>
      </c>
      <c r="I583" s="34"/>
      <c r="J583" s="14"/>
    </row>
    <row r="584" hidden="1">
      <c r="A584" s="90" t="str">
        <f>HYPERLINK("https://github.com/pytorch/pytorch/blob/f99ab991dcd3719ee25dd3377a53ea12e518308e/test/quantization/core/test_workflow_module.py#L932", "TestFusedModuleScriptable")</f>
        <v>TestFusedModuleScriptable</v>
      </c>
      <c r="B584" s="91" t="s">
        <v>1020</v>
      </c>
      <c r="C584" s="91"/>
      <c r="D584" s="91" t="s">
        <v>912</v>
      </c>
      <c r="E584" s="92"/>
      <c r="F584" s="93" t="b">
        <v>0</v>
      </c>
      <c r="G584" s="93" t="b">
        <f>IF(G548=TRUE,TRUE,FALSE)</f>
        <v>0</v>
      </c>
      <c r="H584" s="34" t="str">
        <f>IF(G584=TRUE,H548,"")</f>
        <v/>
      </c>
      <c r="I584" s="34"/>
      <c r="J584" s="14"/>
    </row>
    <row r="585" hidden="1">
      <c r="A585" s="85" t="str">
        <f>HYPERLINK("https://github.com/pytorch/pytorch/blob/f99ab991dcd3719ee25dd3377a53ea12e518308e/test/quantization/core/test_workflow_module.py#L1009", "TestDistributed")</f>
        <v>TestDistributed</v>
      </c>
      <c r="B585" s="86" t="s">
        <v>1020</v>
      </c>
      <c r="C585" s="86"/>
      <c r="D585" s="86" t="s">
        <v>912</v>
      </c>
      <c r="E585" s="87"/>
      <c r="F585" s="88" t="b">
        <v>0</v>
      </c>
      <c r="G585" s="88" t="b">
        <f>IF(G548=TRUE,TRUE,FALSE)</f>
        <v>0</v>
      </c>
      <c r="H585" s="34" t="str">
        <f>IF(G585=TRUE,H548,"")</f>
        <v/>
      </c>
      <c r="I585" s="34"/>
      <c r="J585" s="14"/>
    </row>
    <row r="586" hidden="1">
      <c r="A586" s="90" t="str">
        <f>HYPERLINK("https://github.com/pytorch/pytorch/blob/f99ab991dcd3719ee25dd3377a53ea12e518308e/test/quantization/core/test_workflow_module.py#L1190", "TestFusedObsFakeQuantModule")</f>
        <v>TestFusedObsFakeQuantModule</v>
      </c>
      <c r="B586" s="91" t="s">
        <v>1020</v>
      </c>
      <c r="C586" s="91"/>
      <c r="D586" s="91" t="s">
        <v>912</v>
      </c>
      <c r="E586" s="92"/>
      <c r="F586" s="93" t="b">
        <v>0</v>
      </c>
      <c r="G586" s="93" t="b">
        <f>IF(G548=TRUE,TRUE,FALSE)</f>
        <v>0</v>
      </c>
      <c r="H586" s="34" t="str">
        <f>IF(G586=TRUE,H548,"")</f>
        <v/>
      </c>
      <c r="I586" s="34"/>
      <c r="J586" s="14"/>
    </row>
    <row r="587" hidden="1">
      <c r="A587" s="85" t="str">
        <f>HYPERLINK("https://github.com/pytorch/pytorch/blob/f99ab991dcd3719ee25dd3377a53ea12e518308e/test/quantization/core/test_workflow_ops.py#L289", "TestFakeQuantizeOps")</f>
        <v>TestFakeQuantizeOps</v>
      </c>
      <c r="B587" s="86" t="s">
        <v>1021</v>
      </c>
      <c r="C587" s="86"/>
      <c r="D587" s="86" t="s">
        <v>912</v>
      </c>
      <c r="E587" s="87"/>
      <c r="F587" s="88" t="b">
        <v>0</v>
      </c>
      <c r="G587" s="88" t="b">
        <f>IF(G548=TRUE,TRUE,FALSE)</f>
        <v>0</v>
      </c>
      <c r="H587" s="34" t="str">
        <f>IF(G587=TRUE,H548,"")</f>
        <v/>
      </c>
      <c r="I587" s="34"/>
      <c r="J587" s="14"/>
    </row>
    <row r="588" hidden="1">
      <c r="A588" s="90" t="str">
        <f>HYPERLINK("https://github.com/pytorch/pytorch/blob/f99ab991dcd3719ee25dd3377a53ea12e518308e/test/quantization/core/test_workflow_ops.py#L1098", "TestFusedObsFakeQuant")</f>
        <v>TestFusedObsFakeQuant</v>
      </c>
      <c r="B588" s="91" t="s">
        <v>1021</v>
      </c>
      <c r="C588" s="91"/>
      <c r="D588" s="91" t="s">
        <v>912</v>
      </c>
      <c r="E588" s="92"/>
      <c r="F588" s="93" t="b">
        <v>0</v>
      </c>
      <c r="G588" s="93" t="b">
        <f>IF(G548=TRUE,TRUE,FALSE)</f>
        <v>0</v>
      </c>
      <c r="H588" s="34" t="str">
        <f>IF(G588=TRUE,H548,"")</f>
        <v/>
      </c>
      <c r="I588" s="34"/>
      <c r="J588" s="14"/>
    </row>
    <row r="589" hidden="1">
      <c r="A589" s="85" t="str">
        <f>HYPERLINK("https://github.com/pytorch/pytorch/blob/f99ab991dcd3719ee25dd3377a53ea12e518308e/test/quantization/eager/test_bias_correction_eager.py#L24", "TestBiasCorrectionEager")</f>
        <v>TestBiasCorrectionEager</v>
      </c>
      <c r="B589" s="86" t="s">
        <v>1022</v>
      </c>
      <c r="C589" s="86"/>
      <c r="D589" s="86" t="s">
        <v>912</v>
      </c>
      <c r="E589" s="87"/>
      <c r="F589" s="88" t="b">
        <v>0</v>
      </c>
      <c r="G589" s="88" t="b">
        <f>IF(G548=TRUE,TRUE,FALSE)</f>
        <v>0</v>
      </c>
      <c r="H589" s="34" t="str">
        <f>IF(G589=TRUE,H548,"")</f>
        <v/>
      </c>
      <c r="I589" s="34"/>
      <c r="J589" s="14"/>
    </row>
    <row r="590" hidden="1">
      <c r="A590" s="90" t="str">
        <f>HYPERLINK("https://github.com/pytorch/pytorch/blob/f99ab991dcd3719ee25dd3377a53ea12e518308e/test/quantization/eager/test_equalize_eager.py#L13", "TestEqualizeEager")</f>
        <v>TestEqualizeEager</v>
      </c>
      <c r="B590" s="91" t="s">
        <v>1023</v>
      </c>
      <c r="C590" s="91"/>
      <c r="D590" s="91" t="s">
        <v>912</v>
      </c>
      <c r="E590" s="92"/>
      <c r="F590" s="93" t="b">
        <v>0</v>
      </c>
      <c r="G590" s="93" t="b">
        <f>IF(G548=TRUE,TRUE,FALSE)</f>
        <v>0</v>
      </c>
      <c r="H590" s="34" t="str">
        <f>IF(G590=TRUE,H548,"")</f>
        <v/>
      </c>
      <c r="I590" s="34"/>
      <c r="J590" s="14"/>
    </row>
    <row r="591" hidden="1">
      <c r="A591" s="85" t="str">
        <f>HYPERLINK("https://github.com/pytorch/pytorch/blob/f99ab991dcd3719ee25dd3377a53ea12e518308e/test/quantization/eager/test_fuse_eager.py#L42", "TestFuseEager")</f>
        <v>TestFuseEager</v>
      </c>
      <c r="B591" s="86" t="s">
        <v>1024</v>
      </c>
      <c r="C591" s="86"/>
      <c r="D591" s="86" t="s">
        <v>912</v>
      </c>
      <c r="E591" s="87"/>
      <c r="F591" s="88" t="b">
        <v>0</v>
      </c>
      <c r="G591" s="88" t="b">
        <f>IF(G548=TRUE,TRUE,FALSE)</f>
        <v>0</v>
      </c>
      <c r="H591" s="34" t="str">
        <f>IF(G591=TRUE,H548,"")</f>
        <v/>
      </c>
      <c r="I591" s="34"/>
      <c r="J591" s="14"/>
    </row>
    <row r="592" hidden="1">
      <c r="A592" s="90" t="str">
        <f>HYPERLINK("https://github.com/pytorch/pytorch/blob/f99ab991dcd3719ee25dd3377a53ea12e518308e/test/quantization/eager/test_model_numerics.py#L15", "TestModelNumericsEager")</f>
        <v>TestModelNumericsEager</v>
      </c>
      <c r="B592" s="91" t="s">
        <v>1025</v>
      </c>
      <c r="C592" s="91"/>
      <c r="D592" s="91" t="s">
        <v>912</v>
      </c>
      <c r="E592" s="92"/>
      <c r="F592" s="93" t="b">
        <v>0</v>
      </c>
      <c r="G592" s="93" t="b">
        <f>IF(G548=TRUE,TRUE,FALSE)</f>
        <v>0</v>
      </c>
      <c r="H592" s="34" t="str">
        <f>IF(G592=TRUE,H548,"")</f>
        <v/>
      </c>
      <c r="I592" s="34"/>
      <c r="J592" s="14"/>
    </row>
    <row r="593" hidden="1">
      <c r="A593" s="85" t="str">
        <f>HYPERLINK("https://github.com/pytorch/pytorch/blob/f99ab991dcd3719ee25dd3377a53ea12e518308e/test/quantization/eager/test_numeric_suite_eager.py#L98", "TestNumericSuiteEager")</f>
        <v>TestNumericSuiteEager</v>
      </c>
      <c r="B593" s="86" t="s">
        <v>1026</v>
      </c>
      <c r="C593" s="86"/>
      <c r="D593" s="86" t="s">
        <v>912</v>
      </c>
      <c r="E593" s="87"/>
      <c r="F593" s="88" t="b">
        <v>0</v>
      </c>
      <c r="G593" s="88" t="b">
        <f>IF(G548=TRUE,TRUE,FALSE)</f>
        <v>0</v>
      </c>
      <c r="H593" s="34" t="str">
        <f>IF(G593=TRUE,H548,"")</f>
        <v/>
      </c>
      <c r="I593" s="34"/>
      <c r="J593" s="14"/>
    </row>
    <row r="594" hidden="1">
      <c r="A594" s="90" t="str">
        <f>HYPERLINK("https://github.com/pytorch/pytorch/blob/f99ab991dcd3719ee25dd3377a53ea12e518308e/test/quantization/eager/test_quantize_eager_ptq.py#L74", "TestQuantizeEagerOps")</f>
        <v>TestQuantizeEagerOps</v>
      </c>
      <c r="B594" s="91" t="s">
        <v>1027</v>
      </c>
      <c r="C594" s="91"/>
      <c r="D594" s="91" t="s">
        <v>912</v>
      </c>
      <c r="E594" s="92"/>
      <c r="F594" s="93" t="b">
        <v>0</v>
      </c>
      <c r="G594" s="93" t="b">
        <f>IF(G548=TRUE,TRUE,FALSE)</f>
        <v>0</v>
      </c>
      <c r="H594" s="34" t="str">
        <f>IF(G594=TRUE,H548,"")</f>
        <v/>
      </c>
      <c r="I594" s="34"/>
      <c r="J594" s="14"/>
    </row>
    <row r="595" hidden="1">
      <c r="A595" s="85" t="str">
        <f>HYPERLINK("https://github.com/pytorch/pytorch/blob/f99ab991dcd3719ee25dd3377a53ea12e518308e/test/quantization/eager/test_quantize_eager_ptq.py#L336", "TestQuantizeEagerPTQStatic")</f>
        <v>TestQuantizeEagerPTQStatic</v>
      </c>
      <c r="B595" s="86" t="s">
        <v>1027</v>
      </c>
      <c r="C595" s="86"/>
      <c r="D595" s="86" t="s">
        <v>912</v>
      </c>
      <c r="E595" s="87"/>
      <c r="F595" s="88" t="b">
        <v>0</v>
      </c>
      <c r="G595" s="88" t="b">
        <f>IF(G548=TRUE,TRUE,FALSE)</f>
        <v>0</v>
      </c>
      <c r="H595" s="34" t="str">
        <f>IF(G595=TRUE,H548,"")</f>
        <v/>
      </c>
      <c r="I595" s="34"/>
      <c r="J595" s="14"/>
    </row>
    <row r="596" hidden="1">
      <c r="A596" s="90" t="str">
        <f>HYPERLINK("https://github.com/pytorch/pytorch/blob/f99ab991dcd3719ee25dd3377a53ea12e518308e/test/quantization/eager/test_quantize_eager_ptq.py#L1226", "TestQuantizeEagerPTQDynamic")</f>
        <v>TestQuantizeEagerPTQDynamic</v>
      </c>
      <c r="B596" s="91" t="s">
        <v>1027</v>
      </c>
      <c r="C596" s="91"/>
      <c r="D596" s="91" t="s">
        <v>912</v>
      </c>
      <c r="E596" s="92"/>
      <c r="F596" s="93" t="b">
        <v>0</v>
      </c>
      <c r="G596" s="93" t="b">
        <f>IF(G548=TRUE,TRUE,FALSE)</f>
        <v>0</v>
      </c>
      <c r="H596" s="34" t="str">
        <f>IF(G596=TRUE,H548,"")</f>
        <v/>
      </c>
      <c r="I596" s="34"/>
      <c r="J596" s="14"/>
    </row>
    <row r="597" hidden="1">
      <c r="A597" s="85" t="str">
        <f>HYPERLINK("https://github.com/pytorch/pytorch/blob/f99ab991dcd3719ee25dd3377a53ea12e518308e/test/quantization/eager/test_quantize_eager_qat.py#L331", "TestQuantizeEagerQAT")</f>
        <v>TestQuantizeEagerQAT</v>
      </c>
      <c r="B597" s="86" t="s">
        <v>1028</v>
      </c>
      <c r="C597" s="86"/>
      <c r="D597" s="86" t="s">
        <v>912</v>
      </c>
      <c r="E597" s="87"/>
      <c r="F597" s="88" t="b">
        <v>0</v>
      </c>
      <c r="G597" s="88" t="b">
        <f>IF(G548=TRUE,TRUE,FALSE)</f>
        <v>0</v>
      </c>
      <c r="H597" s="34" t="str">
        <f>IF(G597=TRUE,H548,"")</f>
        <v/>
      </c>
      <c r="I597" s="34"/>
      <c r="J597" s="14"/>
    </row>
    <row r="598" hidden="1">
      <c r="A598" s="90" t="str">
        <f>HYPERLINK("https://github.com/pytorch/pytorch/blob/f99ab991dcd3719ee25dd3377a53ea12e518308e/test/quantization/eager/test_quantize_eager_qat.py#L765", "TestQuantizeEagerQATNumerics")</f>
        <v>TestQuantizeEagerQATNumerics</v>
      </c>
      <c r="B598" s="91" t="s">
        <v>1028</v>
      </c>
      <c r="C598" s="91"/>
      <c r="D598" s="91" t="s">
        <v>912</v>
      </c>
      <c r="E598" s="92"/>
      <c r="F598" s="93" t="b">
        <v>0</v>
      </c>
      <c r="G598" s="93" t="b">
        <f>IF(G548=TRUE,TRUE,FALSE)</f>
        <v>0</v>
      </c>
      <c r="H598" s="34" t="str">
        <f>IF(G598=TRUE,H548,"")</f>
        <v/>
      </c>
      <c r="I598" s="34"/>
      <c r="J598" s="14"/>
    </row>
    <row r="599" hidden="1">
      <c r="A599" s="85" t="str">
        <f>HYPERLINK("https://github.com/pytorch/pytorch/blob/f99ab991dcd3719ee25dd3377a53ea12e518308e/test/quantization/jit/test_deprecated_jit_quant.py#L9", "TestDeprecatedJitQuantized")</f>
        <v>TestDeprecatedJitQuantized</v>
      </c>
      <c r="B599" s="86" t="s">
        <v>1029</v>
      </c>
      <c r="C599" s="86"/>
      <c r="D599" s="86" t="s">
        <v>912</v>
      </c>
      <c r="E599" s="87"/>
      <c r="F599" s="88" t="b">
        <v>0</v>
      </c>
      <c r="G599" s="88" t="b">
        <f>IF(G548=TRUE,TRUE,FALSE)</f>
        <v>0</v>
      </c>
      <c r="H599" s="34" t="str">
        <f>IF(G599=TRUE,H548,"")</f>
        <v/>
      </c>
      <c r="I599" s="34"/>
      <c r="J599" s="14"/>
    </row>
    <row r="600" hidden="1">
      <c r="A600" s="90" t="str">
        <f>HYPERLINK("https://github.com/pytorch/pytorch/blob/f99ab991dcd3719ee25dd3377a53ea12e518308e/test/quantization/jit/test_fusion_passes.py#L10", "TestFusionPasses")</f>
        <v>TestFusionPasses</v>
      </c>
      <c r="B600" s="91" t="s">
        <v>1030</v>
      </c>
      <c r="C600" s="91"/>
      <c r="D600" s="91" t="s">
        <v>912</v>
      </c>
      <c r="E600" s="92"/>
      <c r="F600" s="93" t="b">
        <v>0</v>
      </c>
      <c r="G600" s="93" t="b">
        <f>IF(G548=TRUE,TRUE,FALSE)</f>
        <v>0</v>
      </c>
      <c r="H600" s="34" t="str">
        <f>IF(G600=TRUE,H548,"")</f>
        <v/>
      </c>
      <c r="I600" s="34"/>
      <c r="J600" s="14"/>
    </row>
    <row r="601" hidden="1">
      <c r="A601" s="85" t="str">
        <f>HYPERLINK("https://github.com/pytorch/pytorch/blob/f99ab991dcd3719ee25dd3377a53ea12e518308e/test/quantization/jit/test_ondevice_quantization.py#L121", "TestOnDeviceDynamicPTQInsertObservers")</f>
        <v>TestOnDeviceDynamicPTQInsertObservers</v>
      </c>
      <c r="B601" s="86" t="s">
        <v>1031</v>
      </c>
      <c r="C601" s="86"/>
      <c r="D601" s="86" t="s">
        <v>912</v>
      </c>
      <c r="E601" s="87"/>
      <c r="F601" s="88" t="b">
        <v>0</v>
      </c>
      <c r="G601" s="88" t="b">
        <f>IF(G548=TRUE,TRUE,FALSE)</f>
        <v>0</v>
      </c>
      <c r="H601" s="34" t="str">
        <f>IF(G601=TRUE,H548,"")</f>
        <v/>
      </c>
      <c r="I601" s="34"/>
      <c r="J601" s="14"/>
    </row>
    <row r="602" hidden="1">
      <c r="A602" s="90" t="str">
        <f>HYPERLINK("https://github.com/pytorch/pytorch/blob/f99ab991dcd3719ee25dd3377a53ea12e518308e/test/quantization/jit/test_ondevice_quantization.py#L189", "TestOnDeviceDynamicPTQInsertQuantDequant")</f>
        <v>TestOnDeviceDynamicPTQInsertQuantDequant</v>
      </c>
      <c r="B602" s="91" t="s">
        <v>1031</v>
      </c>
      <c r="C602" s="91"/>
      <c r="D602" s="91" t="s">
        <v>912</v>
      </c>
      <c r="E602" s="92"/>
      <c r="F602" s="93" t="b">
        <v>0</v>
      </c>
      <c r="G602" s="93" t="b">
        <f>IF(G548=TRUE,TRUE,FALSE)</f>
        <v>0</v>
      </c>
      <c r="H602" s="34" t="str">
        <f>IF(G602=TRUE,H548,"")</f>
        <v/>
      </c>
      <c r="I602" s="34"/>
      <c r="J602" s="14"/>
    </row>
    <row r="603" hidden="1">
      <c r="A603" s="85" t="str">
        <f>HYPERLINK("https://github.com/pytorch/pytorch/blob/f99ab991dcd3719ee25dd3377a53ea12e518308e/test/quantization/jit/test_ondevice_quantization.py#L256", "TestOnDeviceDynamicPTQFinalize")</f>
        <v>TestOnDeviceDynamicPTQFinalize</v>
      </c>
      <c r="B603" s="86" t="s">
        <v>1031</v>
      </c>
      <c r="C603" s="86"/>
      <c r="D603" s="86" t="s">
        <v>912</v>
      </c>
      <c r="E603" s="87"/>
      <c r="F603" s="88" t="b">
        <v>0</v>
      </c>
      <c r="G603" s="88" t="b">
        <f>IF(G548=TRUE,TRUE,FALSE)</f>
        <v>0</v>
      </c>
      <c r="H603" s="34" t="str">
        <f>IF(G603=TRUE,H548,"")</f>
        <v/>
      </c>
      <c r="I603" s="34"/>
      <c r="J603" s="14"/>
    </row>
    <row r="604" hidden="1">
      <c r="A604" s="90" t="str">
        <f>HYPERLINK("https://github.com/pytorch/pytorch/blob/f99ab991dcd3719ee25dd3377a53ea12e518308e/test/quantization/jit/test_quantize_jit.py#L88", "TestQuantizeJitPasses")</f>
        <v>TestQuantizeJitPasses</v>
      </c>
      <c r="B604" s="91" t="s">
        <v>1032</v>
      </c>
      <c r="C604" s="91"/>
      <c r="D604" s="91" t="s">
        <v>912</v>
      </c>
      <c r="E604" s="92"/>
      <c r="F604" s="93" t="b">
        <v>0</v>
      </c>
      <c r="G604" s="93" t="b">
        <f>IF(G548=TRUE,TRUE,FALSE)</f>
        <v>0</v>
      </c>
      <c r="H604" s="34" t="str">
        <f>IF(G604=TRUE,H548,"")</f>
        <v/>
      </c>
      <c r="I604" s="34"/>
      <c r="J604" s="14"/>
    </row>
    <row r="605" hidden="1">
      <c r="A605" s="85" t="str">
        <f>HYPERLINK("https://github.com/pytorch/pytorch/blob/f99ab991dcd3719ee25dd3377a53ea12e518308e/test/quantization/jit/test_quantize_jit.py#L1593", "TestQuantizeJitOps")</f>
        <v>TestQuantizeJitOps</v>
      </c>
      <c r="B605" s="86" t="s">
        <v>1032</v>
      </c>
      <c r="C605" s="86"/>
      <c r="D605" s="86" t="s">
        <v>912</v>
      </c>
      <c r="E605" s="87"/>
      <c r="F605" s="88" t="b">
        <v>0</v>
      </c>
      <c r="G605" s="88" t="b">
        <f>IF(G548=TRUE,TRUE,FALSE)</f>
        <v>0</v>
      </c>
      <c r="H605" s="34" t="str">
        <f>IF(G605=TRUE,H548,"")</f>
        <v/>
      </c>
      <c r="I605" s="34"/>
      <c r="J605" s="14"/>
    </row>
    <row r="606" hidden="1">
      <c r="A606" s="90" t="str">
        <f>HYPERLINK("https://github.com/pytorch/pytorch/blob/f99ab991dcd3719ee25dd3377a53ea12e518308e/test/quantization/jit/test_quantize_jit.py#L3004", "TestQuantizeDynamicJitPasses")</f>
        <v>TestQuantizeDynamicJitPasses</v>
      </c>
      <c r="B606" s="91" t="s">
        <v>1032</v>
      </c>
      <c r="C606" s="91"/>
      <c r="D606" s="91" t="s">
        <v>912</v>
      </c>
      <c r="E606" s="92"/>
      <c r="F606" s="93" t="b">
        <v>0</v>
      </c>
      <c r="G606" s="93" t="b">
        <f>IF(G548=TRUE,TRUE,FALSE)</f>
        <v>0</v>
      </c>
      <c r="H606" s="34" t="str">
        <f>IF(G606=TRUE,H548,"")</f>
        <v/>
      </c>
      <c r="I606" s="34"/>
      <c r="J606" s="14"/>
    </row>
    <row r="607" hidden="1">
      <c r="A607" s="85" t="str">
        <f>HYPERLINK("https://github.com/pytorch/pytorch/blob/f99ab991dcd3719ee25dd3377a53ea12e518308e/test/quantization/jit/test_quantize_jit.py#L3317", "TestQuantizeDynamicJitOps")</f>
        <v>TestQuantizeDynamicJitOps</v>
      </c>
      <c r="B607" s="86" t="s">
        <v>1032</v>
      </c>
      <c r="C607" s="86"/>
      <c r="D607" s="86" t="s">
        <v>912</v>
      </c>
      <c r="E607" s="87"/>
      <c r="F607" s="88" t="b">
        <v>0</v>
      </c>
      <c r="G607" s="88" t="b">
        <f>IF(G548=TRUE,TRUE,FALSE)</f>
        <v>0</v>
      </c>
      <c r="H607" s="34" t="str">
        <f>IF(G607=TRUE,H548,"")</f>
        <v/>
      </c>
      <c r="I607" s="34"/>
      <c r="J607" s="14"/>
    </row>
    <row r="608" hidden="1">
      <c r="A608" s="90" t="str">
        <f>HYPERLINK("https://github.com/pytorch/pytorch/blob/f99ab991dcd3719ee25dd3377a53ea12e518308e/test/quantization/jit/test_quantize_jit.py#L3506", "TestQuantizeJit")</f>
        <v>TestQuantizeJit</v>
      </c>
      <c r="B608" s="91" t="s">
        <v>1032</v>
      </c>
      <c r="C608" s="91"/>
      <c r="D608" s="91" t="s">
        <v>912</v>
      </c>
      <c r="E608" s="92"/>
      <c r="F608" s="93" t="b">
        <v>0</v>
      </c>
      <c r="G608" s="93" t="b">
        <f>IF(G548=TRUE,TRUE,FALSE)</f>
        <v>0</v>
      </c>
      <c r="H608" s="34" t="str">
        <f>IF(G608=TRUE,H548,"")</f>
        <v/>
      </c>
      <c r="I608" s="34"/>
      <c r="J608" s="14"/>
    </row>
    <row r="609" hidden="1">
      <c r="A609" s="9" t="s">
        <v>1033</v>
      </c>
      <c r="B609" s="10"/>
      <c r="C609" s="10"/>
      <c r="D609" s="10"/>
      <c r="E609" s="11"/>
      <c r="F609" s="12"/>
      <c r="G609" s="12"/>
      <c r="H609" s="12"/>
      <c r="I609" s="12"/>
      <c r="J609" s="14"/>
    </row>
    <row r="610" hidden="1">
      <c r="A610" s="15" t="s">
        <v>1034</v>
      </c>
      <c r="B610" s="16"/>
      <c r="C610" s="16"/>
      <c r="D610" s="16"/>
      <c r="E610" s="17"/>
      <c r="F610" s="94" t="s">
        <v>310</v>
      </c>
      <c r="G610" s="18" t="b">
        <v>0</v>
      </c>
      <c r="H610" s="20"/>
      <c r="I610" s="20"/>
      <c r="J610" s="14"/>
    </row>
    <row r="611" hidden="1">
      <c r="A611" s="85" t="str">
        <f>HYPERLINK("https://github.com/pytorch/pytorch/blob/f99ab991dcd3719ee25dd3377a53ea12e518308e/test/torch_np/numpy_tests/core/test_dlpack.py#L39", "TestDLPack")</f>
        <v>TestDLPack</v>
      </c>
      <c r="B611" s="86" t="s">
        <v>1035</v>
      </c>
      <c r="C611" s="86"/>
      <c r="D611" s="86" t="s">
        <v>912</v>
      </c>
      <c r="E611" s="87"/>
      <c r="F611" s="49" t="s">
        <v>644</v>
      </c>
      <c r="G611" s="88" t="b">
        <f>IF(G610=TRUE,TRUE,FALSE)</f>
        <v>0</v>
      </c>
      <c r="H611" s="34" t="str">
        <f>IF(G611=TRUE,H610,"")</f>
        <v/>
      </c>
      <c r="I611" s="34"/>
      <c r="J611" s="14"/>
    </row>
    <row r="612" hidden="1">
      <c r="A612" s="90" t="str">
        <f>HYPERLINK("https://github.com/pytorch/pytorch/blob/f99ab991dcd3719ee25dd3377a53ea12e518308e/test/torch_np/numpy_tests/core/test_dtype.py#L51", "TestBuiltin")</f>
        <v>TestBuiltin</v>
      </c>
      <c r="B612" s="91" t="s">
        <v>1036</v>
      </c>
      <c r="C612" s="91"/>
      <c r="D612" s="91" t="s">
        <v>912</v>
      </c>
      <c r="E612" s="92"/>
      <c r="F612" s="48" t="s">
        <v>644</v>
      </c>
      <c r="G612" s="93" t="b">
        <f>IF(G610=TRUE,TRUE,FALSE)</f>
        <v>0</v>
      </c>
      <c r="H612" s="34" t="str">
        <f>IF(G612=TRUE,H610,"")</f>
        <v/>
      </c>
      <c r="I612" s="34"/>
      <c r="J612" s="14"/>
    </row>
    <row r="613" hidden="1">
      <c r="A613" s="85" t="str">
        <f>HYPERLINK("https://github.com/pytorch/pytorch/blob/f99ab991dcd3719ee25dd3377a53ea12e518308e/test/torch_np/numpy_tests/core/test_dtype.py#L155", "TestDtypeAttributeDeletion")</f>
        <v>TestDtypeAttributeDeletion</v>
      </c>
      <c r="B613" s="86" t="s">
        <v>1036</v>
      </c>
      <c r="C613" s="86"/>
      <c r="D613" s="86" t="s">
        <v>912</v>
      </c>
      <c r="E613" s="87"/>
      <c r="F613" s="48" t="s">
        <v>644</v>
      </c>
      <c r="G613" s="88" t="b">
        <f>IF(G610=TRUE,TRUE,FALSE)</f>
        <v>0</v>
      </c>
      <c r="H613" s="34" t="str">
        <f>IF(G613=TRUE,H610,"")</f>
        <v/>
      </c>
      <c r="I613" s="34"/>
      <c r="J613" s="14"/>
    </row>
    <row r="614" hidden="1">
      <c r="A614" s="90" t="str">
        <f>HYPERLINK("https://github.com/pytorch/pytorch/blob/f99ab991dcd3719ee25dd3377a53ea12e518308e/test/torch_np/numpy_tests/core/test_dtype.py#L184", "TestPickling")</f>
        <v>TestPickling</v>
      </c>
      <c r="B614" s="91" t="s">
        <v>1036</v>
      </c>
      <c r="C614" s="91"/>
      <c r="D614" s="91" t="s">
        <v>912</v>
      </c>
      <c r="E614" s="92"/>
      <c r="F614" s="48" t="s">
        <v>644</v>
      </c>
      <c r="G614" s="93" t="b">
        <f>IF(G610=TRUE,TRUE,FALSE)</f>
        <v>0</v>
      </c>
      <c r="H614" s="34" t="str">
        <f>IF(G614=TRUE,H610,"")</f>
        <v/>
      </c>
      <c r="I614" s="34"/>
      <c r="J614" s="14"/>
    </row>
    <row r="615" hidden="1">
      <c r="A615" s="85" t="str">
        <f>HYPERLINK("https://github.com/pytorch/pytorch/blob/f99ab991dcd3719ee25dd3377a53ea12e518308e/test/torch_np/numpy_tests/core/test_dtype.py#L232", "TestPromotion")</f>
        <v>TestPromotion</v>
      </c>
      <c r="B615" s="86" t="s">
        <v>1036</v>
      </c>
      <c r="C615" s="86"/>
      <c r="D615" s="86" t="s">
        <v>912</v>
      </c>
      <c r="E615" s="87"/>
      <c r="F615" s="48" t="s">
        <v>644</v>
      </c>
      <c r="G615" s="88" t="b">
        <f>IF(G610=TRUE,TRUE,FALSE)</f>
        <v>0</v>
      </c>
      <c r="H615" s="34" t="str">
        <f>IF(G615=TRUE,H610,"")</f>
        <v/>
      </c>
      <c r="I615" s="34"/>
      <c r="J615" s="14"/>
    </row>
    <row r="616" hidden="1">
      <c r="A616" s="90" t="str">
        <f>HYPERLINK("https://github.com/pytorch/pytorch/blob/f99ab991dcd3719ee25dd3377a53ea12e518308e/test/torch_np/numpy_tests/core/test_dtype.py#L336", "TestMisc")</f>
        <v>TestMisc</v>
      </c>
      <c r="B616" s="91" t="s">
        <v>1036</v>
      </c>
      <c r="C616" s="91"/>
      <c r="D616" s="91" t="s">
        <v>912</v>
      </c>
      <c r="E616" s="92"/>
      <c r="F616" s="48" t="s">
        <v>644</v>
      </c>
      <c r="G616" s="93" t="b">
        <f>IF(G610=TRUE,TRUE,FALSE)</f>
        <v>0</v>
      </c>
      <c r="H616" s="34" t="str">
        <f>IF(G616=TRUE,H610,"")</f>
        <v/>
      </c>
      <c r="I616" s="34"/>
      <c r="J616" s="14"/>
    </row>
    <row r="617" hidden="1">
      <c r="A617" s="85" t="str">
        <f>HYPERLINK("https://github.com/pytorch/pytorch/blob/f99ab991dcd3719ee25dd3377a53ea12e518308e/test/torch_np/numpy_tests/core/test_dtype.py#L351", "TestFromDTypeAttribute")</f>
        <v>TestFromDTypeAttribute</v>
      </c>
      <c r="B617" s="86" t="s">
        <v>1036</v>
      </c>
      <c r="C617" s="86"/>
      <c r="D617" s="86" t="s">
        <v>912</v>
      </c>
      <c r="E617" s="87"/>
      <c r="F617" s="48" t="s">
        <v>644</v>
      </c>
      <c r="G617" s="88" t="b">
        <f>IF(G610=TRUE,TRUE,FALSE)</f>
        <v>0</v>
      </c>
      <c r="H617" s="34" t="str">
        <f>IF(G617=TRUE,H610,"")</f>
        <v/>
      </c>
      <c r="I617" s="34"/>
      <c r="J617" s="14"/>
    </row>
    <row r="618" hidden="1">
      <c r="A618" s="90" t="str">
        <f>HYPERLINK("https://github.com/pytorch/pytorch/blob/f99ab991dcd3719ee25dd3377a53ea12e518308e/test/torch_np/numpy_tests/core/test_dtype.py#L383", "TestClassGetItem")</f>
        <v>TestClassGetItem</v>
      </c>
      <c r="B618" s="91" t="s">
        <v>1036</v>
      </c>
      <c r="C618" s="91"/>
      <c r="D618" s="91" t="s">
        <v>912</v>
      </c>
      <c r="E618" s="92"/>
      <c r="F618" s="48" t="s">
        <v>644</v>
      </c>
      <c r="G618" s="93" t="b">
        <f>IF(G610=TRUE,TRUE,FALSE)</f>
        <v>0</v>
      </c>
      <c r="H618" s="34" t="str">
        <f>IF(G618=TRUE,H610,"")</f>
        <v/>
      </c>
      <c r="I618" s="34"/>
      <c r="J618" s="14"/>
    </row>
    <row r="619" hidden="1">
      <c r="A619" s="85" t="str">
        <f>HYPERLINK("https://github.com/pytorch/pytorch/blob/f99ab991dcd3719ee25dd3377a53ea12e518308e/test/torch_np/numpy_tests/core/test_einsum.py#L36", "TestEinsum")</f>
        <v>TestEinsum</v>
      </c>
      <c r="B619" s="86" t="s">
        <v>1037</v>
      </c>
      <c r="C619" s="86"/>
      <c r="D619" s="86" t="s">
        <v>912</v>
      </c>
      <c r="E619" s="87"/>
      <c r="F619" s="48" t="s">
        <v>644</v>
      </c>
      <c r="G619" s="88" t="b">
        <f>IF(G610=TRUE,TRUE,FALSE)</f>
        <v>0</v>
      </c>
      <c r="H619" s="34" t="str">
        <f>IF(G619=TRUE,H610,"")</f>
        <v/>
      </c>
      <c r="I619" s="34"/>
      <c r="J619" s="14"/>
    </row>
    <row r="620" hidden="1">
      <c r="A620" s="90" t="str">
        <f>HYPERLINK("https://github.com/pytorch/pytorch/blob/f99ab991dcd3719ee25dd3377a53ea12e518308e/test/torch_np/numpy_tests/core/test_einsum.py#L1210", "TestEinsumPath")</f>
        <v>TestEinsumPath</v>
      </c>
      <c r="B620" s="91" t="s">
        <v>1037</v>
      </c>
      <c r="C620" s="91"/>
      <c r="D620" s="91" t="s">
        <v>912</v>
      </c>
      <c r="E620" s="92"/>
      <c r="F620" s="48" t="s">
        <v>644</v>
      </c>
      <c r="G620" s="93" t="b">
        <f>IF(G610=TRUE,TRUE,FALSE)</f>
        <v>0</v>
      </c>
      <c r="H620" s="34" t="str">
        <f>IF(G620=TRUE,H610,"")</f>
        <v/>
      </c>
      <c r="I620" s="34"/>
      <c r="J620" s="14"/>
    </row>
    <row r="621" hidden="1">
      <c r="A621" s="85" t="str">
        <f>HYPERLINK("https://github.com/pytorch/pytorch/blob/f99ab991dcd3719ee25dd3377a53ea12e518308e/test/torch_np/numpy_tests/core/test_einsum.py#L1371", "TestMisc")</f>
        <v>TestMisc</v>
      </c>
      <c r="B621" s="86" t="s">
        <v>1037</v>
      </c>
      <c r="C621" s="86"/>
      <c r="D621" s="86" t="s">
        <v>912</v>
      </c>
      <c r="E621" s="87"/>
      <c r="F621" s="48" t="s">
        <v>644</v>
      </c>
      <c r="G621" s="88" t="b">
        <f>IF(G610=TRUE,TRUE,FALSE)</f>
        <v>0</v>
      </c>
      <c r="H621" s="34" t="str">
        <f>IF(G621=TRUE,H610,"")</f>
        <v/>
      </c>
      <c r="I621" s="34"/>
      <c r="J621" s="14"/>
    </row>
    <row r="622" hidden="1">
      <c r="A622" s="90" t="str">
        <f>HYPERLINK("https://github.com/pytorch/pytorch/blob/f99ab991dcd3719ee25dd3377a53ea12e518308e/test/torch_np/numpy_tests/core/test_getlimits.py#L39", "TestPythonFloat")</f>
        <v>TestPythonFloat</v>
      </c>
      <c r="B622" s="91" t="s">
        <v>1038</v>
      </c>
      <c r="C622" s="91"/>
      <c r="D622" s="91" t="s">
        <v>912</v>
      </c>
      <c r="E622" s="92"/>
      <c r="F622" s="48" t="s">
        <v>644</v>
      </c>
      <c r="G622" s="93" t="b">
        <f>IF(G610=TRUE,TRUE,FALSE)</f>
        <v>0</v>
      </c>
      <c r="H622" s="34" t="str">
        <f>IF(G622=TRUE,H610,"")</f>
        <v/>
      </c>
      <c r="I622" s="34"/>
      <c r="J622" s="14"/>
    </row>
    <row r="623" hidden="1">
      <c r="A623" s="85" t="str">
        <f>HYPERLINK("https://github.com/pytorch/pytorch/blob/f99ab991dcd3719ee25dd3377a53ea12e518308e/test/torch_np/numpy_tests/core/test_getlimits.py#L47", "TestHalf")</f>
        <v>TestHalf</v>
      </c>
      <c r="B623" s="86" t="s">
        <v>1038</v>
      </c>
      <c r="C623" s="86"/>
      <c r="D623" s="86" t="s">
        <v>912</v>
      </c>
      <c r="E623" s="87"/>
      <c r="F623" s="48" t="s">
        <v>644</v>
      </c>
      <c r="G623" s="88" t="b">
        <f>IF(G610=TRUE,TRUE,FALSE)</f>
        <v>0</v>
      </c>
      <c r="H623" s="34" t="str">
        <f>IF(G623=TRUE,H610,"")</f>
        <v/>
      </c>
      <c r="I623" s="34"/>
      <c r="J623" s="14"/>
    </row>
    <row r="624" hidden="1">
      <c r="A624" s="90" t="str">
        <f>HYPERLINK("https://github.com/pytorch/pytorch/blob/f99ab991dcd3719ee25dd3377a53ea12e518308e/test/torch_np/numpy_tests/core/test_getlimits.py#L55", "TestSingle")</f>
        <v>TestSingle</v>
      </c>
      <c r="B624" s="91" t="s">
        <v>1038</v>
      </c>
      <c r="C624" s="91"/>
      <c r="D624" s="91" t="s">
        <v>912</v>
      </c>
      <c r="E624" s="92"/>
      <c r="F624" s="48" t="s">
        <v>644</v>
      </c>
      <c r="G624" s="93" t="b">
        <f>IF(G610=TRUE,TRUE,FALSE)</f>
        <v>0</v>
      </c>
      <c r="H624" s="34" t="str">
        <f>IF(G624=TRUE,H610,"")</f>
        <v/>
      </c>
      <c r="I624" s="34"/>
      <c r="J624" s="14"/>
    </row>
    <row r="625" hidden="1">
      <c r="A625" s="85" t="str">
        <f>HYPERLINK("https://github.com/pytorch/pytorch/blob/f99ab991dcd3719ee25dd3377a53ea12e518308e/test/torch_np/numpy_tests/core/test_getlimits.py#L63", "TestDouble")</f>
        <v>TestDouble</v>
      </c>
      <c r="B625" s="86" t="s">
        <v>1038</v>
      </c>
      <c r="C625" s="86"/>
      <c r="D625" s="86" t="s">
        <v>912</v>
      </c>
      <c r="E625" s="87"/>
      <c r="F625" s="48" t="s">
        <v>644</v>
      </c>
      <c r="G625" s="88" t="b">
        <f>IF(G610=TRUE,TRUE,FALSE)</f>
        <v>0</v>
      </c>
      <c r="H625" s="34" t="str">
        <f>IF(G625=TRUE,H610,"")</f>
        <v/>
      </c>
      <c r="I625" s="34"/>
      <c r="J625" s="14"/>
    </row>
    <row r="626" hidden="1">
      <c r="A626" s="90" t="str">
        <f>HYPERLINK("https://github.com/pytorch/pytorch/blob/f99ab991dcd3719ee25dd3377a53ea12e518308e/test/torch_np/numpy_tests/core/test_getlimits.py#L70", "TestFinfo")</f>
        <v>TestFinfo</v>
      </c>
      <c r="B626" s="91" t="s">
        <v>1038</v>
      </c>
      <c r="C626" s="91"/>
      <c r="D626" s="91" t="s">
        <v>912</v>
      </c>
      <c r="E626" s="92"/>
      <c r="F626" s="48" t="s">
        <v>644</v>
      </c>
      <c r="G626" s="93" t="b">
        <f>IF(G610=TRUE,TRUE,FALSE)</f>
        <v>0</v>
      </c>
      <c r="H626" s="34" t="str">
        <f>IF(G626=TRUE,H610,"")</f>
        <v/>
      </c>
      <c r="I626" s="34"/>
      <c r="J626" s="14"/>
    </row>
    <row r="627" hidden="1">
      <c r="A627" s="85" t="str">
        <f>HYPERLINK("https://github.com/pytorch/pytorch/blob/f99ab991dcd3719ee25dd3377a53ea12e518308e/test/torch_np/numpy_tests/core/test_getlimits.py#L112", "TestIinfo")</f>
        <v>TestIinfo</v>
      </c>
      <c r="B627" s="86" t="s">
        <v>1038</v>
      </c>
      <c r="C627" s="86"/>
      <c r="D627" s="86" t="s">
        <v>912</v>
      </c>
      <c r="E627" s="87"/>
      <c r="F627" s="48" t="s">
        <v>644</v>
      </c>
      <c r="G627" s="88" t="b">
        <f>IF(G610=TRUE,TRUE,FALSE)</f>
        <v>0</v>
      </c>
      <c r="H627" s="34" t="str">
        <f>IF(G627=TRUE,H610,"")</f>
        <v/>
      </c>
      <c r="I627" s="34"/>
      <c r="J627" s="14"/>
    </row>
    <row r="628" hidden="1">
      <c r="A628" s="90" t="str">
        <f>HYPERLINK("https://github.com/pytorch/pytorch/blob/f99ab991dcd3719ee25dd3377a53ea12e518308e/test/torch_np/numpy_tests/core/test_getlimits.py#L147", "TestRepr")</f>
        <v>TestRepr</v>
      </c>
      <c r="B628" s="91" t="s">
        <v>1038</v>
      </c>
      <c r="C628" s="91"/>
      <c r="D628" s="91" t="s">
        <v>912</v>
      </c>
      <c r="E628" s="92"/>
      <c r="F628" s="48" t="s">
        <v>644</v>
      </c>
      <c r="G628" s="93" t="b">
        <f>IF(G610=TRUE,TRUE,FALSE)</f>
        <v>0</v>
      </c>
      <c r="H628" s="34" t="str">
        <f>IF(G628=TRUE,H610,"")</f>
        <v/>
      </c>
      <c r="I628" s="34"/>
      <c r="J628" s="14"/>
    </row>
    <row r="629" hidden="1">
      <c r="A629" s="85" t="str">
        <f>HYPERLINK("https://github.com/pytorch/pytorch/blob/f99ab991dcd3719ee25dd3377a53ea12e518308e/test/torch_np/numpy_tests/core/test_getlimits.py#L174", "TestMisc")</f>
        <v>TestMisc</v>
      </c>
      <c r="B629" s="86" t="s">
        <v>1038</v>
      </c>
      <c r="C629" s="86"/>
      <c r="D629" s="86" t="s">
        <v>912</v>
      </c>
      <c r="E629" s="87"/>
      <c r="F629" s="48" t="s">
        <v>644</v>
      </c>
      <c r="G629" s="88" t="b">
        <f>IF(G610=TRUE,TRUE,FALSE)</f>
        <v>0</v>
      </c>
      <c r="H629" s="34" t="str">
        <f>IF(G629=TRUE,H610,"")</f>
        <v/>
      </c>
      <c r="I629" s="34"/>
      <c r="J629" s="14"/>
    </row>
    <row r="630" hidden="1">
      <c r="A630" s="90" t="str">
        <f>HYPERLINK("https://github.com/pytorch/pytorch/blob/f99ab991dcd3719ee25dd3377a53ea12e518308e/test/torch_np/numpy_tests/core/test_indexing.py#L49", "TestIndexing")</f>
        <v>TestIndexing</v>
      </c>
      <c r="B630" s="91" t="s">
        <v>1039</v>
      </c>
      <c r="C630" s="91"/>
      <c r="D630" s="91" t="s">
        <v>912</v>
      </c>
      <c r="E630" s="92"/>
      <c r="F630" s="48" t="s">
        <v>644</v>
      </c>
      <c r="G630" s="93" t="b">
        <f>IF(G610=TRUE,TRUE,FALSE)</f>
        <v>0</v>
      </c>
      <c r="H630" s="34" t="str">
        <f>IF(G630=TRUE,H610,"")</f>
        <v/>
      </c>
      <c r="I630" s="34"/>
      <c r="J630" s="14"/>
    </row>
    <row r="631" hidden="1">
      <c r="A631" s="85" t="str">
        <f>HYPERLINK("https://github.com/pytorch/pytorch/blob/f99ab991dcd3719ee25dd3377a53ea12e518308e/test/torch_np/numpy_tests/core/test_indexing.py#L505", "TestBroadcastedAssignments")</f>
        <v>TestBroadcastedAssignments</v>
      </c>
      <c r="B631" s="86" t="s">
        <v>1039</v>
      </c>
      <c r="C631" s="86"/>
      <c r="D631" s="86" t="s">
        <v>912</v>
      </c>
      <c r="E631" s="87"/>
      <c r="F631" s="48" t="s">
        <v>644</v>
      </c>
      <c r="G631" s="88" t="b">
        <f>IF(G610=TRUE,TRUE,FALSE)</f>
        <v>0</v>
      </c>
      <c r="H631" s="34" t="str">
        <f>IF(G631=TRUE,H610,"")</f>
        <v/>
      </c>
      <c r="I631" s="34"/>
      <c r="J631" s="14"/>
    </row>
    <row r="632" hidden="1">
      <c r="A632" s="90" t="str">
        <f>HYPERLINK("https://github.com/pytorch/pytorch/blob/f99ab991dcd3719ee25dd3377a53ea12e518308e/test/torch_np/numpy_tests/core/test_indexing.py#L593", "TestFancyIndexingCast")</f>
        <v>TestFancyIndexingCast</v>
      </c>
      <c r="B632" s="91" t="s">
        <v>1039</v>
      </c>
      <c r="C632" s="91"/>
      <c r="D632" s="91" t="s">
        <v>912</v>
      </c>
      <c r="E632" s="92"/>
      <c r="F632" s="48" t="s">
        <v>644</v>
      </c>
      <c r="G632" s="93" t="b">
        <f>IF(G610=TRUE,TRUE,FALSE)</f>
        <v>0</v>
      </c>
      <c r="H632" s="34" t="str">
        <f>IF(G632=TRUE,H610,"")</f>
        <v/>
      </c>
      <c r="I632" s="34"/>
      <c r="J632" s="14"/>
    </row>
    <row r="633" hidden="1">
      <c r="A633" s="85" t="str">
        <f>HYPERLINK("https://github.com/pytorch/pytorch/blob/f99ab991dcd3719ee25dd3377a53ea12e518308e/test/torch_np/numpy_tests/core/test_indexing.py#L627", "TestMultiIndexingAutomated")</f>
        <v>TestMultiIndexingAutomated</v>
      </c>
      <c r="B633" s="86" t="s">
        <v>1039</v>
      </c>
      <c r="C633" s="86"/>
      <c r="D633" s="86" t="s">
        <v>912</v>
      </c>
      <c r="E633" s="87"/>
      <c r="F633" s="48" t="s">
        <v>644</v>
      </c>
      <c r="G633" s="88" t="b">
        <f>IF(G610=TRUE,TRUE,FALSE)</f>
        <v>0</v>
      </c>
      <c r="H633" s="34" t="str">
        <f>IF(G633=TRUE,H610,"")</f>
        <v/>
      </c>
      <c r="I633" s="34"/>
      <c r="J633" s="14"/>
    </row>
    <row r="634" hidden="1">
      <c r="A634" s="90" t="str">
        <f>HYPERLINK("https://github.com/pytorch/pytorch/blob/f99ab991dcd3719ee25dd3377a53ea12e518308e/test/torch_np/numpy_tests/core/test_indexing.py#L1079", "TestFloatNonIntegerArgument")</f>
        <v>TestFloatNonIntegerArgument</v>
      </c>
      <c r="B634" s="91" t="s">
        <v>1039</v>
      </c>
      <c r="C634" s="91"/>
      <c r="D634" s="91" t="s">
        <v>912</v>
      </c>
      <c r="E634" s="92"/>
      <c r="F634" s="48" t="s">
        <v>644</v>
      </c>
      <c r="G634" s="93" t="b">
        <f>IF(G610=TRUE,TRUE,FALSE)</f>
        <v>0</v>
      </c>
      <c r="H634" s="34" t="str">
        <f>IF(G634=TRUE,H610,"")</f>
        <v/>
      </c>
      <c r="I634" s="34"/>
      <c r="J634" s="14"/>
    </row>
    <row r="635" hidden="1">
      <c r="A635" s="85" t="str">
        <f>HYPERLINK("https://github.com/pytorch/pytorch/blob/f99ab991dcd3719ee25dd3377a53ea12e518308e/test/torch_np/numpy_tests/core/test_indexing.py#L1138", "TestBooleanIndexing")</f>
        <v>TestBooleanIndexing</v>
      </c>
      <c r="B635" s="86" t="s">
        <v>1039</v>
      </c>
      <c r="C635" s="86"/>
      <c r="D635" s="86" t="s">
        <v>912</v>
      </c>
      <c r="E635" s="87"/>
      <c r="F635" s="48" t="s">
        <v>644</v>
      </c>
      <c r="G635" s="88" t="b">
        <f>IF(G610=TRUE,TRUE,FALSE)</f>
        <v>0</v>
      </c>
      <c r="H635" s="34" t="str">
        <f>IF(G635=TRUE,H610,"")</f>
        <v/>
      </c>
      <c r="I635" s="34"/>
      <c r="J635" s="14"/>
    </row>
    <row r="636" hidden="1">
      <c r="A636" s="90" t="str">
        <f>HYPERLINK("https://github.com/pytorch/pytorch/blob/f99ab991dcd3719ee25dd3377a53ea12e518308e/test/torch_np/numpy_tests/core/test_indexing.py#L1194", "TestArrayToIndexDeprecation")</f>
        <v>TestArrayToIndexDeprecation</v>
      </c>
      <c r="B636" s="91" t="s">
        <v>1039</v>
      </c>
      <c r="C636" s="91"/>
      <c r="D636" s="91" t="s">
        <v>912</v>
      </c>
      <c r="E636" s="92"/>
      <c r="F636" s="48" t="s">
        <v>644</v>
      </c>
      <c r="G636" s="93" t="b">
        <f>IF(G610=TRUE,TRUE,FALSE)</f>
        <v>0</v>
      </c>
      <c r="H636" s="34" t="str">
        <f>IF(G636=TRUE,H610,"")</f>
        <v/>
      </c>
      <c r="I636" s="34"/>
      <c r="J636" s="14"/>
    </row>
    <row r="637" hidden="1">
      <c r="A637" s="85" t="str">
        <f>HYPERLINK("https://github.com/pytorch/pytorch/blob/f99ab991dcd3719ee25dd3377a53ea12e518308e/test/torch_np/numpy_tests/core/test_indexing.py#L1213", "TestNonIntegerArrayLike")</f>
        <v>TestNonIntegerArrayLike</v>
      </c>
      <c r="B637" s="86" t="s">
        <v>1039</v>
      </c>
      <c r="C637" s="86"/>
      <c r="D637" s="86" t="s">
        <v>912</v>
      </c>
      <c r="E637" s="87"/>
      <c r="F637" s="48" t="s">
        <v>644</v>
      </c>
      <c r="G637" s="88" t="b">
        <f>IF(G610=TRUE,TRUE,FALSE)</f>
        <v>0</v>
      </c>
      <c r="H637" s="34" t="str">
        <f>IF(G637=TRUE,H610,"")</f>
        <v/>
      </c>
      <c r="I637" s="34"/>
      <c r="J637" s="14"/>
    </row>
    <row r="638" hidden="1">
      <c r="A638" s="90" t="str">
        <f>HYPERLINK("https://github.com/pytorch/pytorch/blob/f99ab991dcd3719ee25dd3377a53ea12e518308e/test/torch_np/numpy_tests/core/test_indexing.py#L1237", "TestMultipleEllipsisError")</f>
        <v>TestMultipleEllipsisError</v>
      </c>
      <c r="B638" s="91" t="s">
        <v>1039</v>
      </c>
      <c r="C638" s="91"/>
      <c r="D638" s="91" t="s">
        <v>912</v>
      </c>
      <c r="E638" s="92"/>
      <c r="F638" s="48" t="s">
        <v>644</v>
      </c>
      <c r="G638" s="93" t="b">
        <f>IF(G610=TRUE,TRUE,FALSE)</f>
        <v>0</v>
      </c>
      <c r="H638" s="34" t="str">
        <f>IF(G638=TRUE,H610,"")</f>
        <v/>
      </c>
      <c r="I638" s="34"/>
      <c r="J638" s="14"/>
    </row>
    <row r="639" hidden="1">
      <c r="A639" s="85" t="str">
        <f>HYPERLINK("https://github.com/pytorch/pytorch/blob/f99ab991dcd3719ee25dd3377a53ea12e518308e/test/torch_np/numpy_tests/core/test_multiarray.py#L162", "TestFlag")</f>
        <v>TestFlag</v>
      </c>
      <c r="B639" s="86" t="s">
        <v>1040</v>
      </c>
      <c r="C639" s="86"/>
      <c r="D639" s="86" t="s">
        <v>912</v>
      </c>
      <c r="E639" s="87"/>
      <c r="F639" s="48" t="s">
        <v>644</v>
      </c>
      <c r="G639" s="88" t="b">
        <f>IF(G610=TRUE,TRUE,FALSE)</f>
        <v>0</v>
      </c>
      <c r="H639" s="34" t="str">
        <f>IF(G639=TRUE,H610,"")</f>
        <v/>
      </c>
      <c r="I639" s="34"/>
      <c r="J639" s="14"/>
    </row>
    <row r="640" hidden="1">
      <c r="A640" s="90" t="str">
        <f>HYPERLINK("https://github.com/pytorch/pytorch/blob/f99ab991dcd3719ee25dd3377a53ea12e518308e/test/torch_np/numpy_tests/core/test_multiarray.py#L314", "TestHash")</f>
        <v>TestHash</v>
      </c>
      <c r="B640" s="91" t="s">
        <v>1040</v>
      </c>
      <c r="C640" s="91"/>
      <c r="D640" s="91" t="s">
        <v>912</v>
      </c>
      <c r="E640" s="92"/>
      <c r="F640" s="48" t="s">
        <v>644</v>
      </c>
      <c r="G640" s="93" t="b">
        <f>IF(G610=TRUE,TRUE,FALSE)</f>
        <v>0</v>
      </c>
      <c r="H640" s="34" t="str">
        <f>IF(G640=TRUE,H610,"")</f>
        <v/>
      </c>
      <c r="I640" s="34"/>
      <c r="J640" s="14"/>
    </row>
    <row r="641" hidden="1">
      <c r="A641" s="85" t="str">
        <f>HYPERLINK("https://github.com/pytorch/pytorch/blob/f99ab991dcd3719ee25dd3377a53ea12e518308e/test/torch_np/numpy_tests/core/test_multiarray.py#L352", "TestAttributes")</f>
        <v>TestAttributes</v>
      </c>
      <c r="B641" s="86" t="s">
        <v>1040</v>
      </c>
      <c r="C641" s="86"/>
      <c r="D641" s="86" t="s">
        <v>912</v>
      </c>
      <c r="E641" s="87"/>
      <c r="F641" s="48" t="s">
        <v>644</v>
      </c>
      <c r="G641" s="88" t="b">
        <f>IF(G610=TRUE,TRUE,FALSE)</f>
        <v>0</v>
      </c>
      <c r="H641" s="34" t="str">
        <f>IF(G641=TRUE,H610,"")</f>
        <v/>
      </c>
      <c r="I641" s="34"/>
      <c r="J641" s="14"/>
    </row>
    <row r="642" hidden="1">
      <c r="A642" s="90" t="str">
        <f>HYPERLINK("https://github.com/pytorch/pytorch/blob/f99ab991dcd3719ee25dd3377a53ea12e518308e/test/torch_np/numpy_tests/core/test_multiarray.py#L488", "TestArrayConstruction")</f>
        <v>TestArrayConstruction</v>
      </c>
      <c r="B642" s="91" t="s">
        <v>1040</v>
      </c>
      <c r="C642" s="91"/>
      <c r="D642" s="91" t="s">
        <v>912</v>
      </c>
      <c r="E642" s="92"/>
      <c r="F642" s="48" t="s">
        <v>644</v>
      </c>
      <c r="G642" s="93" t="b">
        <f>IF(G610=TRUE,TRUE,FALSE)</f>
        <v>0</v>
      </c>
      <c r="H642" s="34" t="str">
        <f>IF(G642=TRUE,H610,"")</f>
        <v/>
      </c>
      <c r="I642" s="34"/>
      <c r="J642" s="14"/>
    </row>
    <row r="643" hidden="1">
      <c r="A643" s="85" t="str">
        <f>HYPERLINK("https://github.com/pytorch/pytorch/blob/f99ab991dcd3719ee25dd3377a53ea12e518308e/test/torch_np/numpy_tests/core/test_multiarray.py#L620", "TestAssignment")</f>
        <v>TestAssignment</v>
      </c>
      <c r="B643" s="86" t="s">
        <v>1040</v>
      </c>
      <c r="C643" s="86"/>
      <c r="D643" s="86" t="s">
        <v>912</v>
      </c>
      <c r="E643" s="87"/>
      <c r="F643" s="48" t="s">
        <v>644</v>
      </c>
      <c r="G643" s="88" t="b">
        <f>IF(G610=TRUE,TRUE,FALSE)</f>
        <v>0</v>
      </c>
      <c r="H643" s="34" t="str">
        <f>IF(G643=TRUE,H610,"")</f>
        <v/>
      </c>
      <c r="I643" s="34"/>
      <c r="J643" s="14"/>
    </row>
    <row r="644" hidden="1">
      <c r="A644" s="90" t="str">
        <f>HYPERLINK("https://github.com/pytorch/pytorch/blob/f99ab991dcd3719ee25dd3377a53ea12e518308e/test/torch_np/numpy_tests/core/test_multiarray.py#L750", "TestDtypedescr")</f>
        <v>TestDtypedescr</v>
      </c>
      <c r="B644" s="91" t="s">
        <v>1040</v>
      </c>
      <c r="C644" s="91"/>
      <c r="D644" s="91" t="s">
        <v>912</v>
      </c>
      <c r="E644" s="92"/>
      <c r="F644" s="48" t="s">
        <v>644</v>
      </c>
      <c r="G644" s="93" t="b">
        <f>IF(G610=TRUE,TRUE,FALSE)</f>
        <v>0</v>
      </c>
      <c r="H644" s="34" t="str">
        <f>IF(G644=TRUE,H610,"")</f>
        <v/>
      </c>
      <c r="I644" s="34"/>
      <c r="J644" s="14"/>
    </row>
    <row r="645" hidden="1">
      <c r="A645" s="85" t="str">
        <f>HYPERLINK("https://github.com/pytorch/pytorch/blob/f99ab991dcd3719ee25dd3377a53ea12e518308e/test/torch_np/numpy_tests/core/test_multiarray.py#L759", "TestZeroRank")</f>
        <v>TestZeroRank</v>
      </c>
      <c r="B645" s="86" t="s">
        <v>1040</v>
      </c>
      <c r="C645" s="86"/>
      <c r="D645" s="86" t="s">
        <v>912</v>
      </c>
      <c r="E645" s="87"/>
      <c r="F645" s="48" t="s">
        <v>644</v>
      </c>
      <c r="G645" s="88" t="b">
        <f>IF(G610=TRUE,TRUE,FALSE)</f>
        <v>0</v>
      </c>
      <c r="H645" s="34" t="str">
        <f>IF(G645=TRUE,H610,"")</f>
        <v/>
      </c>
      <c r="I645" s="34"/>
      <c r="J645" s="14"/>
    </row>
    <row r="646" hidden="1">
      <c r="A646" s="90" t="str">
        <f>HYPERLINK("https://github.com/pytorch/pytorch/blob/f99ab991dcd3719ee25dd3377a53ea12e518308e/test/torch_np/numpy_tests/core/test_multiarray.py#L863", "TestScalarIndexing")</f>
        <v>TestScalarIndexing</v>
      </c>
      <c r="B646" s="91" t="s">
        <v>1040</v>
      </c>
      <c r="C646" s="91"/>
      <c r="D646" s="91" t="s">
        <v>912</v>
      </c>
      <c r="E646" s="92"/>
      <c r="F646" s="48" t="s">
        <v>644</v>
      </c>
      <c r="G646" s="93" t="b">
        <f>IF(G610=TRUE,TRUE,FALSE)</f>
        <v>0</v>
      </c>
      <c r="H646" s="34" t="str">
        <f>IF(G646=TRUE,H610,"")</f>
        <v/>
      </c>
      <c r="I646" s="34"/>
      <c r="J646" s="14"/>
    </row>
    <row r="647" hidden="1">
      <c r="A647" s="85" t="str">
        <f>HYPERLINK("https://github.com/pytorch/pytorch/blob/f99ab991dcd3719ee25dd3377a53ea12e518308e/test/torch_np/numpy_tests/core/test_multiarray.py#L964", "TestCreation")</f>
        <v>TestCreation</v>
      </c>
      <c r="B647" s="86" t="s">
        <v>1040</v>
      </c>
      <c r="C647" s="86"/>
      <c r="D647" s="86" t="s">
        <v>912</v>
      </c>
      <c r="E647" s="87"/>
      <c r="F647" s="48" t="s">
        <v>644</v>
      </c>
      <c r="G647" s="88" t="b">
        <f>IF(G610=TRUE,TRUE,FALSE)</f>
        <v>0</v>
      </c>
      <c r="H647" s="34" t="str">
        <f>IF(G647=TRUE,H610,"")</f>
        <v/>
      </c>
      <c r="I647" s="34"/>
      <c r="J647" s="14"/>
    </row>
    <row r="648" hidden="1">
      <c r="A648" s="90" t="str">
        <f>HYPERLINK("https://github.com/pytorch/pytorch/blob/f99ab991dcd3719ee25dd3377a53ea12e518308e/test/torch_np/numpy_tests/core/test_multiarray.py#L1337", "TestBool")</f>
        <v>TestBool</v>
      </c>
      <c r="B648" s="91" t="s">
        <v>1040</v>
      </c>
      <c r="C648" s="91"/>
      <c r="D648" s="91" t="s">
        <v>912</v>
      </c>
      <c r="E648" s="92"/>
      <c r="F648" s="48" t="s">
        <v>644</v>
      </c>
      <c r="G648" s="93" t="b">
        <f>IF(G610=TRUE,TRUE,FALSE)</f>
        <v>0</v>
      </c>
      <c r="H648" s="34" t="str">
        <f>IF(G648=TRUE,H610,"")</f>
        <v/>
      </c>
      <c r="I648" s="34"/>
      <c r="J648" s="14"/>
    </row>
    <row r="649" hidden="1">
      <c r="A649" s="85" t="str">
        <f>HYPERLINK("https://github.com/pytorch/pytorch/blob/f99ab991dcd3719ee25dd3377a53ea12e518308e/test/torch_np/numpy_tests/core/test_multiarray.py#L1432", "TestMethods")</f>
        <v>TestMethods</v>
      </c>
      <c r="B649" s="86" t="s">
        <v>1040</v>
      </c>
      <c r="C649" s="86"/>
      <c r="D649" s="86" t="s">
        <v>912</v>
      </c>
      <c r="E649" s="87"/>
      <c r="F649" s="48" t="s">
        <v>644</v>
      </c>
      <c r="G649" s="88" t="b">
        <f>IF(G610=TRUE,TRUE,FALSE)</f>
        <v>0</v>
      </c>
      <c r="H649" s="34" t="str">
        <f>IF(G649=TRUE,H610,"")</f>
        <v/>
      </c>
      <c r="I649" s="34"/>
      <c r="J649" s="14"/>
    </row>
    <row r="650" hidden="1">
      <c r="A650" s="90" t="str">
        <f>HYPERLINK("https://github.com/pytorch/pytorch/blob/f99ab991dcd3719ee25dd3377a53ea12e518308e/test/torch_np/numpy_tests/core/test_multiarray.py#L3008", "TestCequenceMethods")</f>
        <v>TestCequenceMethods</v>
      </c>
      <c r="B650" s="91" t="s">
        <v>1040</v>
      </c>
      <c r="C650" s="91"/>
      <c r="D650" s="91" t="s">
        <v>912</v>
      </c>
      <c r="E650" s="92"/>
      <c r="F650" s="48" t="s">
        <v>644</v>
      </c>
      <c r="G650" s="93" t="b">
        <f>IF(G610=TRUE,TRUE,FALSE)</f>
        <v>0</v>
      </c>
      <c r="H650" s="34" t="str">
        <f>IF(G650=TRUE,H610,"")</f>
        <v/>
      </c>
      <c r="I650" s="34"/>
      <c r="J650" s="14"/>
    </row>
    <row r="651" hidden="1">
      <c r="A651" s="85" t="str">
        <f>HYPERLINK("https://github.com/pytorch/pytorch/blob/f99ab991dcd3719ee25dd3377a53ea12e518308e/test/torch_np/numpy_tests/core/test_multiarray.py#L3014", "TestBinop")</f>
        <v>TestBinop</v>
      </c>
      <c r="B651" s="86" t="s">
        <v>1040</v>
      </c>
      <c r="C651" s="86"/>
      <c r="D651" s="86" t="s">
        <v>912</v>
      </c>
      <c r="E651" s="87"/>
      <c r="F651" s="48" t="s">
        <v>644</v>
      </c>
      <c r="G651" s="88" t="b">
        <f>IF(G610=TRUE,TRUE,FALSE)</f>
        <v>0</v>
      </c>
      <c r="H651" s="34" t="str">
        <f>IF(G651=TRUE,H610,"")</f>
        <v/>
      </c>
      <c r="I651" s="34"/>
      <c r="J651" s="14"/>
    </row>
    <row r="652" hidden="1">
      <c r="A652" s="90" t="str">
        <f>HYPERLINK("https://github.com/pytorch/pytorch/blob/f99ab991dcd3719ee25dd3377a53ea12e518308e/test/torch_np/numpy_tests/core/test_multiarray.py#L3045", "TestSubscripting")</f>
        <v>TestSubscripting</v>
      </c>
      <c r="B652" s="91" t="s">
        <v>1040</v>
      </c>
      <c r="C652" s="91"/>
      <c r="D652" s="91" t="s">
        <v>912</v>
      </c>
      <c r="E652" s="92"/>
      <c r="F652" s="48" t="s">
        <v>644</v>
      </c>
      <c r="G652" s="93" t="b">
        <f>IF(G610=TRUE,TRUE,FALSE)</f>
        <v>0</v>
      </c>
      <c r="H652" s="34" t="str">
        <f>IF(G652=TRUE,H610,"")</f>
        <v/>
      </c>
      <c r="I652" s="34"/>
      <c r="J652" s="14"/>
    </row>
    <row r="653" hidden="1">
      <c r="A653" s="85" t="str">
        <f>HYPERLINK("https://github.com/pytorch/pytorch/blob/f99ab991dcd3719ee25dd3377a53ea12e518308e/test/torch_np/numpy_tests/core/test_multiarray.py#L3052", "TestFancyIndexing")</f>
        <v>TestFancyIndexing</v>
      </c>
      <c r="B653" s="86" t="s">
        <v>1040</v>
      </c>
      <c r="C653" s="86"/>
      <c r="D653" s="86" t="s">
        <v>912</v>
      </c>
      <c r="E653" s="87"/>
      <c r="F653" s="48" t="s">
        <v>644</v>
      </c>
      <c r="G653" s="88" t="b">
        <f>IF(G610=TRUE,TRUE,FALSE)</f>
        <v>0</v>
      </c>
      <c r="H653" s="34" t="str">
        <f>IF(G653=TRUE,H610,"")</f>
        <v/>
      </c>
      <c r="I653" s="34"/>
      <c r="J653" s="14"/>
    </row>
    <row r="654" hidden="1">
      <c r="A654" s="90" t="str">
        <f>HYPERLINK("https://github.com/pytorch/pytorch/blob/f99ab991dcd3719ee25dd3377a53ea12e518308e/test/torch_np/numpy_tests/core/test_multiarray.py#L3107", "TestArgmaxArgminCommon")</f>
        <v>TestArgmaxArgminCommon</v>
      </c>
      <c r="B654" s="91" t="s">
        <v>1040</v>
      </c>
      <c r="C654" s="91"/>
      <c r="D654" s="91" t="s">
        <v>912</v>
      </c>
      <c r="E654" s="92"/>
      <c r="F654" s="48" t="s">
        <v>644</v>
      </c>
      <c r="G654" s="93" t="b">
        <f>IF(G610=TRUE,TRUE,FALSE)</f>
        <v>0</v>
      </c>
      <c r="H654" s="34" t="str">
        <f>IF(G654=TRUE,H610,"")</f>
        <v/>
      </c>
      <c r="I654" s="34"/>
      <c r="J654" s="14"/>
    </row>
    <row r="655" hidden="1">
      <c r="A655" s="85" t="str">
        <f>HYPERLINK("https://github.com/pytorch/pytorch/blob/f99ab991dcd3719ee25dd3377a53ea12e518308e/test/torch_np/numpy_tests/core/test_multiarray.py#L3275", "TestArgmax")</f>
        <v>TestArgmax</v>
      </c>
      <c r="B655" s="86" t="s">
        <v>1040</v>
      </c>
      <c r="C655" s="86"/>
      <c r="D655" s="86" t="s">
        <v>912</v>
      </c>
      <c r="E655" s="87"/>
      <c r="F655" s="48" t="s">
        <v>644</v>
      </c>
      <c r="G655" s="88" t="b">
        <f>IF(G610=TRUE,TRUE,FALSE)</f>
        <v>0</v>
      </c>
      <c r="H655" s="34" t="str">
        <f>IF(G655=TRUE,H610,"")</f>
        <v/>
      </c>
      <c r="I655" s="34"/>
      <c r="J655" s="14"/>
    </row>
    <row r="656" hidden="1">
      <c r="A656" s="90" t="str">
        <f>HYPERLINK("https://github.com/pytorch/pytorch/blob/f99ab991dcd3719ee25dd3377a53ea12e518308e/test/torch_np/numpy_tests/core/test_multiarray.py#L3384", "TestArgmin")</f>
        <v>TestArgmin</v>
      </c>
      <c r="B656" s="91" t="s">
        <v>1040</v>
      </c>
      <c r="C656" s="91"/>
      <c r="D656" s="91" t="s">
        <v>912</v>
      </c>
      <c r="E656" s="92"/>
      <c r="F656" s="48" t="s">
        <v>644</v>
      </c>
      <c r="G656" s="93" t="b">
        <f>IF(G610=TRUE,TRUE,FALSE)</f>
        <v>0</v>
      </c>
      <c r="H656" s="34" t="str">
        <f>IF(G656=TRUE,H610,"")</f>
        <v/>
      </c>
      <c r="I656" s="34"/>
      <c r="J656" s="14"/>
    </row>
    <row r="657" hidden="1">
      <c r="A657" s="85" t="str">
        <f>HYPERLINK("https://github.com/pytorch/pytorch/blob/f99ab991dcd3719ee25dd3377a53ea12e518308e/test/torch_np/numpy_tests/core/test_multiarray.py#L3492", "TestMinMax")</f>
        <v>TestMinMax</v>
      </c>
      <c r="B657" s="86" t="s">
        <v>1040</v>
      </c>
      <c r="C657" s="86"/>
      <c r="D657" s="86" t="s">
        <v>912</v>
      </c>
      <c r="E657" s="87"/>
      <c r="F657" s="48" t="s">
        <v>644</v>
      </c>
      <c r="G657" s="88" t="b">
        <f>IF(G610=TRUE,TRUE,FALSE)</f>
        <v>0</v>
      </c>
      <c r="H657" s="34" t="str">
        <f>IF(G657=TRUE,H610,"")</f>
        <v/>
      </c>
      <c r="I657" s="34"/>
      <c r="J657" s="14"/>
    </row>
    <row r="658" hidden="1">
      <c r="A658" s="90" t="str">
        <f>HYPERLINK("https://github.com/pytorch/pytorch/blob/f99ab991dcd3719ee25dd3377a53ea12e518308e/test/torch_np/numpy_tests/core/test_multiarray.py#L3508", "TestNewaxis")</f>
        <v>TestNewaxis</v>
      </c>
      <c r="B658" s="91" t="s">
        <v>1040</v>
      </c>
      <c r="C658" s="91"/>
      <c r="D658" s="91" t="s">
        <v>912</v>
      </c>
      <c r="E658" s="92"/>
      <c r="F658" s="48" t="s">
        <v>644</v>
      </c>
      <c r="G658" s="93" t="b">
        <f>IF(G610=TRUE,TRUE,FALSE)</f>
        <v>0</v>
      </c>
      <c r="H658" s="34" t="str">
        <f>IF(G658=TRUE,H610,"")</f>
        <v/>
      </c>
      <c r="I658" s="34"/>
      <c r="J658" s="14"/>
    </row>
    <row r="659" hidden="1">
      <c r="A659" s="85" t="str">
        <f>HYPERLINK("https://github.com/pytorch/pytorch/blob/f99ab991dcd3719ee25dd3377a53ea12e518308e/test/torch_np/numpy_tests/core/test_multiarray.py#L3525", "TestClip")</f>
        <v>TestClip</v>
      </c>
      <c r="B659" s="86" t="s">
        <v>1040</v>
      </c>
      <c r="C659" s="86"/>
      <c r="D659" s="86" t="s">
        <v>912</v>
      </c>
      <c r="E659" s="87"/>
      <c r="F659" s="48" t="s">
        <v>644</v>
      </c>
      <c r="G659" s="88" t="b">
        <f>IF(G610=TRUE,TRUE,FALSE)</f>
        <v>0</v>
      </c>
      <c r="H659" s="34" t="str">
        <f>IF(G659=TRUE,H610,"")</f>
        <v/>
      </c>
      <c r="I659" s="34"/>
      <c r="J659" s="14"/>
    </row>
    <row r="660" hidden="1">
      <c r="A660" s="90" t="str">
        <f>HYPERLINK("https://github.com/pytorch/pytorch/blob/f99ab991dcd3719ee25dd3377a53ea12e518308e/test/torch_np/numpy_tests/core/test_multiarray.py#L3600", "TestCompress")</f>
        <v>TestCompress</v>
      </c>
      <c r="B660" s="91" t="s">
        <v>1040</v>
      </c>
      <c r="C660" s="91"/>
      <c r="D660" s="91" t="s">
        <v>912</v>
      </c>
      <c r="E660" s="92"/>
      <c r="F660" s="48" t="s">
        <v>644</v>
      </c>
      <c r="G660" s="93" t="b">
        <f>IF(G610=TRUE,TRUE,FALSE)</f>
        <v>0</v>
      </c>
      <c r="H660" s="34" t="str">
        <f>IF(G660=TRUE,H610,"")</f>
        <v/>
      </c>
      <c r="I660" s="34"/>
      <c r="J660" s="14"/>
    </row>
    <row r="661" hidden="1">
      <c r="A661" s="85" t="str">
        <f>HYPERLINK("https://github.com/pytorch/pytorch/blob/f99ab991dcd3719ee25dd3377a53ea12e518308e/test/torch_np/numpy_tests/core/test_multiarray.py#L3625", "TestPutmask")</f>
        <v>TestPutmask</v>
      </c>
      <c r="B661" s="86" t="s">
        <v>1040</v>
      </c>
      <c r="C661" s="86"/>
      <c r="D661" s="86" t="s">
        <v>912</v>
      </c>
      <c r="E661" s="87"/>
      <c r="F661" s="48" t="s">
        <v>644</v>
      </c>
      <c r="G661" s="88" t="b">
        <f>IF(G610=TRUE,TRUE,FALSE)</f>
        <v>0</v>
      </c>
      <c r="H661" s="34" t="str">
        <f>IF(G661=TRUE,H610,"")</f>
        <v/>
      </c>
      <c r="I661" s="34"/>
      <c r="J661" s="14"/>
    </row>
    <row r="662" hidden="1">
      <c r="A662" s="90" t="str">
        <f>HYPERLINK("https://github.com/pytorch/pytorch/blob/f99ab991dcd3719ee25dd3377a53ea12e518308e/test/torch_np/numpy_tests/core/test_multiarray.py#L3708", "TestTake")</f>
        <v>TestTake</v>
      </c>
      <c r="B662" s="91" t="s">
        <v>1040</v>
      </c>
      <c r="C662" s="91"/>
      <c r="D662" s="91" t="s">
        <v>912</v>
      </c>
      <c r="E662" s="92"/>
      <c r="F662" s="48" t="s">
        <v>644</v>
      </c>
      <c r="G662" s="93" t="b">
        <f>IF(G610=TRUE,TRUE,FALSE)</f>
        <v>0</v>
      </c>
      <c r="H662" s="34" t="str">
        <f>IF(G662=TRUE,H610,"")</f>
        <v/>
      </c>
      <c r="I662" s="34"/>
      <c r="J662" s="14"/>
    </row>
    <row r="663" hidden="1">
      <c r="A663" s="85" t="str">
        <f>HYPERLINK("https://github.com/pytorch/pytorch/blob/f99ab991dcd3719ee25dd3377a53ea12e518308e/test/torch_np/numpy_tests/core/test_multiarray.py#L3762", "TestLexsort")</f>
        <v>TestLexsort</v>
      </c>
      <c r="B663" s="86" t="s">
        <v>1040</v>
      </c>
      <c r="C663" s="86"/>
      <c r="D663" s="86" t="s">
        <v>912</v>
      </c>
      <c r="E663" s="87"/>
      <c r="F663" s="48" t="s">
        <v>644</v>
      </c>
      <c r="G663" s="88" t="b">
        <f>IF(G610=TRUE,TRUE,FALSE)</f>
        <v>0</v>
      </c>
      <c r="H663" s="34" t="str">
        <f>IF(G663=TRUE,H610,"")</f>
        <v/>
      </c>
      <c r="I663" s="34"/>
      <c r="J663" s="14"/>
    </row>
    <row r="664" hidden="1">
      <c r="A664" s="90" t="str">
        <f>HYPERLINK("https://github.com/pytorch/pytorch/blob/f99ab991dcd3719ee25dd3377a53ea12e518308e/test/torch_np/numpy_tests/core/test_multiarray.py#L3827", "TestIO")</f>
        <v>TestIO</v>
      </c>
      <c r="B664" s="91" t="s">
        <v>1040</v>
      </c>
      <c r="C664" s="91"/>
      <c r="D664" s="91" t="s">
        <v>912</v>
      </c>
      <c r="E664" s="92"/>
      <c r="F664" s="48" t="s">
        <v>644</v>
      </c>
      <c r="G664" s="93" t="b">
        <f>IF(G610=TRUE,TRUE,FALSE)</f>
        <v>0</v>
      </c>
      <c r="H664" s="34" t="str">
        <f>IF(G664=TRUE,H610,"")</f>
        <v/>
      </c>
      <c r="I664" s="34"/>
      <c r="J664" s="14"/>
    </row>
    <row r="665" hidden="1">
      <c r="A665" s="85" t="str">
        <f>HYPERLINK("https://github.com/pytorch/pytorch/blob/f99ab991dcd3719ee25dd3377a53ea12e518308e/test/torch_np/numpy_tests/core/test_multiarray.py#L4323", "TestFromBuffer")</f>
        <v>TestFromBuffer</v>
      </c>
      <c r="B665" s="86" t="s">
        <v>1040</v>
      </c>
      <c r="C665" s="86"/>
      <c r="D665" s="86" t="s">
        <v>912</v>
      </c>
      <c r="E665" s="87"/>
      <c r="F665" s="48" t="s">
        <v>644</v>
      </c>
      <c r="G665" s="88" t="b">
        <f>IF(G610=TRUE,TRUE,FALSE)</f>
        <v>0</v>
      </c>
      <c r="H665" s="34" t="str">
        <f>IF(G665=TRUE,H610,"")</f>
        <v/>
      </c>
      <c r="I665" s="34"/>
      <c r="J665" s="14"/>
    </row>
    <row r="666" hidden="1">
      <c r="A666" s="90" t="str">
        <f>HYPERLINK("https://github.com/pytorch/pytorch/blob/f99ab991dcd3719ee25dd3377a53ea12e518308e/test/torch_np/numpy_tests/core/test_multiarray.py#L4374", "TestFlat")</f>
        <v>TestFlat</v>
      </c>
      <c r="B666" s="91" t="s">
        <v>1040</v>
      </c>
      <c r="C666" s="91"/>
      <c r="D666" s="91" t="s">
        <v>912</v>
      </c>
      <c r="E666" s="92"/>
      <c r="F666" s="48" t="s">
        <v>644</v>
      </c>
      <c r="G666" s="93" t="b">
        <f>IF(G610=TRUE,TRUE,FALSE)</f>
        <v>0</v>
      </c>
      <c r="H666" s="34" t="str">
        <f>IF(G666=TRUE,H610,"")</f>
        <v/>
      </c>
      <c r="I666" s="34"/>
      <c r="J666" s="14"/>
    </row>
    <row r="667" hidden="1">
      <c r="A667" s="85" t="str">
        <f>HYPERLINK("https://github.com/pytorch/pytorch/blob/f99ab991dcd3719ee25dd3377a53ea12e518308e/test/torch_np/numpy_tests/core/test_multiarray.py#L4447", "TestResize")</f>
        <v>TestResize</v>
      </c>
      <c r="B667" s="86" t="s">
        <v>1040</v>
      </c>
      <c r="C667" s="86"/>
      <c r="D667" s="86" t="s">
        <v>912</v>
      </c>
      <c r="E667" s="87"/>
      <c r="F667" s="48" t="s">
        <v>644</v>
      </c>
      <c r="G667" s="88" t="b">
        <f>IF(G610=TRUE,TRUE,FALSE)</f>
        <v>0</v>
      </c>
      <c r="H667" s="34" t="str">
        <f>IF(G667=TRUE,H610,"")</f>
        <v/>
      </c>
      <c r="I667" s="34"/>
      <c r="J667" s="14"/>
    </row>
    <row r="668" hidden="1">
      <c r="A668" s="90" t="str">
        <f>HYPERLINK("https://github.com/pytorch/pytorch/blob/f99ab991dcd3719ee25dd3377a53ea12e518308e/test/torch_np/numpy_tests/core/test_multiarray.py#L4549", "TestStats")</f>
        <v>TestStats</v>
      </c>
      <c r="B668" s="91" t="s">
        <v>1040</v>
      </c>
      <c r="C668" s="91"/>
      <c r="D668" s="91" t="s">
        <v>912</v>
      </c>
      <c r="E668" s="92"/>
      <c r="F668" s="48" t="s">
        <v>644</v>
      </c>
      <c r="G668" s="93" t="b">
        <f>IF(G610=TRUE,TRUE,FALSE)</f>
        <v>0</v>
      </c>
      <c r="H668" s="34" t="str">
        <f>IF(G668=TRUE,H610,"")</f>
        <v/>
      </c>
      <c r="I668" s="34"/>
      <c r="J668" s="14"/>
    </row>
    <row r="669" hidden="1">
      <c r="A669" s="85" t="str">
        <f>HYPERLINK("https://github.com/pytorch/pytorch/blob/f99ab991dcd3719ee25dd3377a53ea12e518308e/test/torch_np/numpy_tests/core/test_multiarray.py#L4889", "TestVdot")</f>
        <v>TestVdot</v>
      </c>
      <c r="B669" s="86" t="s">
        <v>1040</v>
      </c>
      <c r="C669" s="86"/>
      <c r="D669" s="86" t="s">
        <v>912</v>
      </c>
      <c r="E669" s="87"/>
      <c r="F669" s="48" t="s">
        <v>644</v>
      </c>
      <c r="G669" s="88" t="b">
        <f>IF(G610=TRUE,TRUE,FALSE)</f>
        <v>0</v>
      </c>
      <c r="H669" s="34" t="str">
        <f>IF(G669=TRUE,H610,"")</f>
        <v/>
      </c>
      <c r="I669" s="34"/>
      <c r="J669" s="14"/>
    </row>
    <row r="670" hidden="1">
      <c r="A670" s="90" t="str">
        <f>HYPERLINK("https://github.com/pytorch/pytorch/blob/f99ab991dcd3719ee25dd3377a53ea12e518308e/test/torch_np/numpy_tests/core/test_multiarray.py#L4960", "TestDot")</f>
        <v>TestDot</v>
      </c>
      <c r="B670" s="91" t="s">
        <v>1040</v>
      </c>
      <c r="C670" s="91"/>
      <c r="D670" s="91" t="s">
        <v>912</v>
      </c>
      <c r="E670" s="92"/>
      <c r="F670" s="48" t="s">
        <v>644</v>
      </c>
      <c r="G670" s="93" t="b">
        <f>IF(G610=TRUE,TRUE,FALSE)</f>
        <v>0</v>
      </c>
      <c r="H670" s="34" t="str">
        <f>IF(G670=TRUE,H610,"")</f>
        <v/>
      </c>
      <c r="I670" s="34"/>
      <c r="J670" s="14"/>
    </row>
    <row r="671" hidden="1">
      <c r="A671" s="85" t="str">
        <f>HYPERLINK("https://github.com/pytorch/pytorch/blob/f99ab991dcd3719ee25dd3377a53ea12e518308e/test/torch_np/numpy_tests/core/test_multiarray.py#L5470", "TestMatmul")</f>
        <v>TestMatmul</v>
      </c>
      <c r="B671" s="86" t="s">
        <v>1040</v>
      </c>
      <c r="C671" s="86"/>
      <c r="D671" s="86" t="s">
        <v>912</v>
      </c>
      <c r="E671" s="87"/>
      <c r="F671" s="48" t="s">
        <v>644</v>
      </c>
      <c r="G671" s="88" t="b">
        <f>IF(G610=TRUE,TRUE,FALSE)</f>
        <v>0</v>
      </c>
      <c r="H671" s="34" t="str">
        <f>IF(G671=TRUE,H610,"")</f>
        <v/>
      </c>
      <c r="I671" s="34"/>
      <c r="J671" s="14"/>
    </row>
    <row r="672" hidden="1">
      <c r="A672" s="90" t="str">
        <f>HYPERLINK("https://github.com/pytorch/pytorch/blob/f99ab991dcd3719ee25dd3377a53ea12e518308e/test/torch_np/numpy_tests/core/test_multiarray.py#L5661", "TestMatmulOperator")</f>
        <v>TestMatmulOperator</v>
      </c>
      <c r="B672" s="91" t="s">
        <v>1040</v>
      </c>
      <c r="C672" s="91"/>
      <c r="D672" s="91" t="s">
        <v>912</v>
      </c>
      <c r="E672" s="92"/>
      <c r="F672" s="48" t="s">
        <v>644</v>
      </c>
      <c r="G672" s="93" t="b">
        <f>IF(G610=TRUE,TRUE,FALSE)</f>
        <v>0</v>
      </c>
      <c r="H672" s="34" t="str">
        <f>IF(G672=TRUE,H610,"")</f>
        <v/>
      </c>
      <c r="I672" s="34"/>
      <c r="J672" s="14"/>
    </row>
    <row r="673" hidden="1">
      <c r="A673" s="85" t="str">
        <f>HYPERLINK("https://github.com/pytorch/pytorch/blob/f99ab991dcd3719ee25dd3377a53ea12e518308e/test/torch_np/numpy_tests/core/test_multiarray.py#L5721", "TestInner")</f>
        <v>TestInner</v>
      </c>
      <c r="B673" s="86" t="s">
        <v>1040</v>
      </c>
      <c r="C673" s="86"/>
      <c r="D673" s="86" t="s">
        <v>912</v>
      </c>
      <c r="E673" s="87"/>
      <c r="F673" s="48" t="s">
        <v>644</v>
      </c>
      <c r="G673" s="88" t="b">
        <f>IF(G610=TRUE,TRUE,FALSE)</f>
        <v>0</v>
      </c>
      <c r="H673" s="34" t="str">
        <f>IF(G673=TRUE,H610,"")</f>
        <v/>
      </c>
      <c r="I673" s="34"/>
      <c r="J673" s="14"/>
    </row>
    <row r="674" hidden="1">
      <c r="A674" s="90" t="str">
        <f>HYPERLINK("https://github.com/pytorch/pytorch/blob/f99ab991dcd3719ee25dd3377a53ea12e518308e/test/torch_np/numpy_tests/core/test_multiarray.py#L5790", "TestChoose")</f>
        <v>TestChoose</v>
      </c>
      <c r="B674" s="91" t="s">
        <v>1040</v>
      </c>
      <c r="C674" s="91"/>
      <c r="D674" s="91" t="s">
        <v>912</v>
      </c>
      <c r="E674" s="92"/>
      <c r="F674" s="48" t="s">
        <v>644</v>
      </c>
      <c r="G674" s="93" t="b">
        <f>IF(G610=TRUE,TRUE,FALSE)</f>
        <v>0</v>
      </c>
      <c r="H674" s="34" t="str">
        <f>IF(G674=TRUE,H610,"")</f>
        <v/>
      </c>
      <c r="I674" s="34"/>
      <c r="J674" s="14"/>
    </row>
    <row r="675" hidden="1">
      <c r="A675" s="85" t="str">
        <f>HYPERLINK("https://github.com/pytorch/pytorch/blob/f99ab991dcd3719ee25dd3377a53ea12e518308e/test/torch_np/numpy_tests/core/test_multiarray.py#L5856", "TestRepeat")</f>
        <v>TestRepeat</v>
      </c>
      <c r="B675" s="86" t="s">
        <v>1040</v>
      </c>
      <c r="C675" s="86"/>
      <c r="D675" s="86" t="s">
        <v>912</v>
      </c>
      <c r="E675" s="87"/>
      <c r="F675" s="48" t="s">
        <v>644</v>
      </c>
      <c r="G675" s="88" t="b">
        <f>IF(G610=TRUE,TRUE,FALSE)</f>
        <v>0</v>
      </c>
      <c r="H675" s="34" t="str">
        <f>IF(G675=TRUE,H610,"")</f>
        <v/>
      </c>
      <c r="I675" s="34"/>
      <c r="J675" s="14"/>
    </row>
    <row r="676" hidden="1">
      <c r="A676" s="90" t="str">
        <f>HYPERLINK("https://github.com/pytorch/pytorch/blob/f99ab991dcd3719ee25dd3377a53ea12e518308e/test/torch_np/numpy_tests/core/test_multiarray.py#L5889", "TestWarnings")</f>
        <v>TestWarnings</v>
      </c>
      <c r="B676" s="91" t="s">
        <v>1040</v>
      </c>
      <c r="C676" s="91"/>
      <c r="D676" s="91" t="s">
        <v>912</v>
      </c>
      <c r="E676" s="92"/>
      <c r="F676" s="48" t="s">
        <v>644</v>
      </c>
      <c r="G676" s="93" t="b">
        <f>IF(G610=TRUE,TRUE,FALSE)</f>
        <v>0</v>
      </c>
      <c r="H676" s="34" t="str">
        <f>IF(G676=TRUE,H610,"")</f>
        <v/>
      </c>
      <c r="I676" s="34"/>
      <c r="J676" s="14"/>
    </row>
    <row r="677" hidden="1">
      <c r="A677" s="85" t="str">
        <f>HYPERLINK("https://github.com/pytorch/pytorch/blob/f99ab991dcd3719ee25dd3377a53ea12e518308e/test/torch_np/numpy_tests/core/test_multiarray.py#L5907", "TestMinScalarType")</f>
        <v>TestMinScalarType</v>
      </c>
      <c r="B677" s="86" t="s">
        <v>1040</v>
      </c>
      <c r="C677" s="86"/>
      <c r="D677" s="86" t="s">
        <v>912</v>
      </c>
      <c r="E677" s="87"/>
      <c r="F677" s="48" t="s">
        <v>644</v>
      </c>
      <c r="G677" s="88" t="b">
        <f>IF(G610=TRUE,TRUE,FALSE)</f>
        <v>0</v>
      </c>
      <c r="H677" s="34" t="str">
        <f>IF(G677=TRUE,H610,"")</f>
        <v/>
      </c>
      <c r="I677" s="34"/>
      <c r="J677" s="14"/>
    </row>
    <row r="678" hidden="1">
      <c r="A678" s="90" t="str">
        <f>HYPERLINK("https://github.com/pytorch/pytorch/blob/f99ab991dcd3719ee25dd3377a53ea12e518308e/test/torch_np/numpy_tests/core/test_multiarray.py#L5934", "TestPEP3118Dtype")</f>
        <v>TestPEP3118Dtype</v>
      </c>
      <c r="B678" s="91" t="s">
        <v>1040</v>
      </c>
      <c r="C678" s="91"/>
      <c r="D678" s="91" t="s">
        <v>912</v>
      </c>
      <c r="E678" s="92"/>
      <c r="F678" s="48" t="s">
        <v>644</v>
      </c>
      <c r="G678" s="93" t="b">
        <f>IF(G610=TRUE,TRUE,FALSE)</f>
        <v>0</v>
      </c>
      <c r="H678" s="34" t="str">
        <f>IF(G678=TRUE,H610,"")</f>
        <v/>
      </c>
      <c r="I678" s="34"/>
      <c r="J678" s="14"/>
    </row>
    <row r="679" hidden="1">
      <c r="A679" s="85" t="str">
        <f>HYPERLINK("https://github.com/pytorch/pytorch/blob/f99ab991dcd3719ee25dd3377a53ea12e518308e/test/torch_np/numpy_tests/core/test_multiarray.py#L6055", "TestArrayCreationCopyArgument")</f>
        <v>TestArrayCreationCopyArgument</v>
      </c>
      <c r="B679" s="86" t="s">
        <v>1040</v>
      </c>
      <c r="C679" s="86"/>
      <c r="D679" s="86" t="s">
        <v>912</v>
      </c>
      <c r="E679" s="87"/>
      <c r="F679" s="48" t="s">
        <v>644</v>
      </c>
      <c r="G679" s="88" t="b">
        <f>IF(G610=TRUE,TRUE,FALSE)</f>
        <v>0</v>
      </c>
      <c r="H679" s="34" t="str">
        <f>IF(G679=TRUE,H610,"")</f>
        <v/>
      </c>
      <c r="I679" s="34"/>
      <c r="J679" s="14"/>
    </row>
    <row r="680" hidden="1">
      <c r="A680" s="90" t="str">
        <f>HYPERLINK("https://github.com/pytorch/pytorch/blob/f99ab991dcd3719ee25dd3377a53ea12e518308e/test/torch_np/numpy_tests/core/test_multiarray.py#L6282", "TestArrayAttributeDeletion")</f>
        <v>TestArrayAttributeDeletion</v>
      </c>
      <c r="B680" s="91" t="s">
        <v>1040</v>
      </c>
      <c r="C680" s="91"/>
      <c r="D680" s="91" t="s">
        <v>912</v>
      </c>
      <c r="E680" s="92"/>
      <c r="F680" s="48" t="s">
        <v>644</v>
      </c>
      <c r="G680" s="93" t="b">
        <f>IF(G610=TRUE,TRUE,FALSE)</f>
        <v>0</v>
      </c>
      <c r="H680" s="34" t="str">
        <f>IF(G680=TRUE,H610,"")</f>
        <v/>
      </c>
      <c r="I680" s="34"/>
      <c r="J680" s="14"/>
    </row>
    <row r="681" hidden="1">
      <c r="A681" s="85" t="str">
        <f>HYPERLINK("https://github.com/pytorch/pytorch/blob/f99ab991dcd3719ee25dd3377a53ea12e518308e/test/torch_np/numpy_tests/core/test_multiarray.py#L6338", "TestArrayInterface")</f>
        <v>TestArrayInterface</v>
      </c>
      <c r="B681" s="86" t="s">
        <v>1040</v>
      </c>
      <c r="C681" s="86"/>
      <c r="D681" s="86" t="s">
        <v>912</v>
      </c>
      <c r="E681" s="87"/>
      <c r="F681" s="48" t="s">
        <v>644</v>
      </c>
      <c r="G681" s="88" t="b">
        <f>IF(G610=TRUE,TRUE,FALSE)</f>
        <v>0</v>
      </c>
      <c r="H681" s="34" t="str">
        <f>IF(G681=TRUE,H610,"")</f>
        <v/>
      </c>
      <c r="I681" s="34"/>
      <c r="J681" s="14"/>
    </row>
    <row r="682" hidden="1">
      <c r="A682" s="90" t="str">
        <f>HYPERLINK("https://github.com/pytorch/pytorch/blob/f99ab991dcd3719ee25dd3377a53ea12e518308e/test/torch_np/numpy_tests/core/test_multiarray.py#L6387", "TestDelMisc")</f>
        <v>TestDelMisc</v>
      </c>
      <c r="B682" s="91" t="s">
        <v>1040</v>
      </c>
      <c r="C682" s="91"/>
      <c r="D682" s="91" t="s">
        <v>912</v>
      </c>
      <c r="E682" s="92"/>
      <c r="F682" s="48" t="s">
        <v>644</v>
      </c>
      <c r="G682" s="93" t="b">
        <f>IF(G610=TRUE,TRUE,FALSE)</f>
        <v>0</v>
      </c>
      <c r="H682" s="34" t="str">
        <f>IF(G682=TRUE,H610,"")</f>
        <v/>
      </c>
      <c r="I682" s="34"/>
      <c r="J682" s="14"/>
    </row>
    <row r="683" hidden="1">
      <c r="A683" s="85" t="str">
        <f>HYPERLINK("https://github.com/pytorch/pytorch/blob/f99ab991dcd3719ee25dd3377a53ea12e518308e/test/torch_np/numpy_tests/core/test_multiarray.py#L6400", "TestConversion")</f>
        <v>TestConversion</v>
      </c>
      <c r="B683" s="86" t="s">
        <v>1040</v>
      </c>
      <c r="C683" s="86"/>
      <c r="D683" s="86" t="s">
        <v>912</v>
      </c>
      <c r="E683" s="87"/>
      <c r="F683" s="48" t="s">
        <v>644</v>
      </c>
      <c r="G683" s="88" t="b">
        <f>IF(G610=TRUE,TRUE,FALSE)</f>
        <v>0</v>
      </c>
      <c r="H683" s="34" t="str">
        <f>IF(G683=TRUE,H610,"")</f>
        <v/>
      </c>
      <c r="I683" s="34"/>
      <c r="J683" s="14"/>
    </row>
    <row r="684" hidden="1">
      <c r="A684" s="90" t="str">
        <f>HYPERLINK("https://github.com/pytorch/pytorch/blob/f99ab991dcd3719ee25dd3377a53ea12e518308e/test/torch_np/numpy_tests/core/test_multiarray.py#L6521", "TestWhere")</f>
        <v>TestWhere</v>
      </c>
      <c r="B684" s="91" t="s">
        <v>1040</v>
      </c>
      <c r="C684" s="91"/>
      <c r="D684" s="91" t="s">
        <v>912</v>
      </c>
      <c r="E684" s="92"/>
      <c r="F684" s="48" t="s">
        <v>644</v>
      </c>
      <c r="G684" s="93" t="b">
        <f>IF(G610=TRUE,TRUE,FALSE)</f>
        <v>0</v>
      </c>
      <c r="H684" s="34" t="str">
        <f>IF(G684=TRUE,H610,"")</f>
        <v/>
      </c>
      <c r="I684" s="34"/>
      <c r="J684" s="14"/>
    </row>
    <row r="685" hidden="1">
      <c r="A685" s="85" t="str">
        <f>HYPERLINK("https://github.com/pytorch/pytorch/blob/f99ab991dcd3719ee25dd3377a53ea12e518308e/test/torch_np/numpy_tests/core/test_multiarray.py#L6757", "TestHashing")</f>
        <v>TestHashing</v>
      </c>
      <c r="B685" s="86" t="s">
        <v>1040</v>
      </c>
      <c r="C685" s="86"/>
      <c r="D685" s="86" t="s">
        <v>912</v>
      </c>
      <c r="E685" s="87"/>
      <c r="F685" s="48" t="s">
        <v>644</v>
      </c>
      <c r="G685" s="88" t="b">
        <f>IF(G610=TRUE,TRUE,FALSE)</f>
        <v>0</v>
      </c>
      <c r="H685" s="34" t="str">
        <f>IF(G685=TRUE,H610,"")</f>
        <v/>
      </c>
      <c r="I685" s="34"/>
      <c r="J685" s="14"/>
    </row>
    <row r="686" hidden="1">
      <c r="A686" s="90" t="str">
        <f>HYPERLINK("https://github.com/pytorch/pytorch/blob/f99ab991dcd3719ee25dd3377a53ea12e518308e/test/torch_np/numpy_tests/core/test_multiarray.py#L6767", "TestFormat")</f>
        <v>TestFormat</v>
      </c>
      <c r="B686" s="91" t="s">
        <v>1040</v>
      </c>
      <c r="C686" s="91"/>
      <c r="D686" s="91" t="s">
        <v>912</v>
      </c>
      <c r="E686" s="92"/>
      <c r="F686" s="48" t="s">
        <v>644</v>
      </c>
      <c r="G686" s="93" t="b">
        <f>IF(G610=TRUE,TRUE,FALSE)</f>
        <v>0</v>
      </c>
      <c r="H686" s="34" t="str">
        <f>IF(G686=TRUE,H610,"")</f>
        <v/>
      </c>
      <c r="I686" s="34"/>
      <c r="J686" s="14"/>
    </row>
    <row r="687" hidden="1">
      <c r="A687" s="85" t="str">
        <f>HYPERLINK("https://github.com/pytorch/pytorch/blob/f99ab991dcd3719ee25dd3377a53ea12e518308e/test/torch_np/numpy_tests/core/test_multiarray.py#L6787", "TestWritebackIfCopy")</f>
        <v>TestWritebackIfCopy</v>
      </c>
      <c r="B687" s="86" t="s">
        <v>1040</v>
      </c>
      <c r="C687" s="86"/>
      <c r="D687" s="86" t="s">
        <v>912</v>
      </c>
      <c r="E687" s="87"/>
      <c r="F687" s="48" t="s">
        <v>644</v>
      </c>
      <c r="G687" s="88" t="b">
        <f>IF(G610=TRUE,TRUE,FALSE)</f>
        <v>0</v>
      </c>
      <c r="H687" s="34" t="str">
        <f>IF(G687=TRUE,H610,"")</f>
        <v/>
      </c>
      <c r="I687" s="34"/>
      <c r="J687" s="14"/>
    </row>
    <row r="688" hidden="1">
      <c r="A688" s="90" t="str">
        <f>HYPERLINK("https://github.com/pytorch/pytorch/blob/f99ab991dcd3719ee25dd3377a53ea12e518308e/test/torch_np/numpy_tests/core/test_multiarray.py#L6853", "TestArange")</f>
        <v>TestArange</v>
      </c>
      <c r="B688" s="91" t="s">
        <v>1040</v>
      </c>
      <c r="C688" s="91"/>
      <c r="D688" s="91" t="s">
        <v>912</v>
      </c>
      <c r="E688" s="92"/>
      <c r="F688" s="48" t="s">
        <v>644</v>
      </c>
      <c r="G688" s="93" t="b">
        <f>IF(G610=TRUE,TRUE,FALSE)</f>
        <v>0</v>
      </c>
      <c r="H688" s="34" t="str">
        <f>IF(G688=TRUE,H610,"")</f>
        <v/>
      </c>
      <c r="I688" s="34"/>
      <c r="J688" s="14"/>
    </row>
    <row r="689" hidden="1">
      <c r="A689" s="85" t="str">
        <f>HYPERLINK("https://github.com/pytorch/pytorch/blob/f99ab991dcd3719ee25dd3377a53ea12e518308e/test/torch_np/numpy_tests/core/test_multiarray.py#L6943", "TestRichcompareScalar")</f>
        <v>TestRichcompareScalar</v>
      </c>
      <c r="B689" s="86" t="s">
        <v>1040</v>
      </c>
      <c r="C689" s="86"/>
      <c r="D689" s="86" t="s">
        <v>912</v>
      </c>
      <c r="E689" s="87"/>
      <c r="F689" s="48" t="s">
        <v>644</v>
      </c>
      <c r="G689" s="88" t="b">
        <f>IF(G610=TRUE,TRUE,FALSE)</f>
        <v>0</v>
      </c>
      <c r="H689" s="34" t="str">
        <f>IF(G689=TRUE,H610,"")</f>
        <v/>
      </c>
      <c r="I689" s="34"/>
      <c r="J689" s="14"/>
    </row>
    <row r="690" hidden="1">
      <c r="A690" s="90" t="str">
        <f>HYPERLINK("https://github.com/pytorch/pytorch/blob/f99ab991dcd3719ee25dd3377a53ea12e518308e/test/torch_np/numpy_tests/core/test_multiarray.py#L6959", "TestViewDtype")</f>
        <v>TestViewDtype</v>
      </c>
      <c r="B690" s="91" t="s">
        <v>1040</v>
      </c>
      <c r="C690" s="91"/>
      <c r="D690" s="91" t="s">
        <v>912</v>
      </c>
      <c r="E690" s="92"/>
      <c r="F690" s="48" t="s">
        <v>644</v>
      </c>
      <c r="G690" s="93" t="b">
        <f>IF(G610=TRUE,TRUE,FALSE)</f>
        <v>0</v>
      </c>
      <c r="H690" s="34" t="str">
        <f>IF(G690=TRUE,H610,"")</f>
        <v/>
      </c>
      <c r="I690" s="34"/>
      <c r="J690" s="14"/>
    </row>
    <row r="691" hidden="1">
      <c r="A691" s="85" t="str">
        <f>HYPERLINK("https://github.com/pytorch/pytorch/blob/f99ab991dcd3719ee25dd3377a53ea12e518308e/test/torch_np/numpy_tests/core/test_multiarray.py#L7026", "TestSortFloatMisc")</f>
        <v>TestSortFloatMisc</v>
      </c>
      <c r="B691" s="86" t="s">
        <v>1040</v>
      </c>
      <c r="C691" s="86"/>
      <c r="D691" s="86" t="s">
        <v>912</v>
      </c>
      <c r="E691" s="87"/>
      <c r="F691" s="48" t="s">
        <v>644</v>
      </c>
      <c r="G691" s="88" t="b">
        <f>IF(G610=TRUE,TRUE,FALSE)</f>
        <v>0</v>
      </c>
      <c r="H691" s="34" t="str">
        <f>IF(G691=TRUE,H610,"")</f>
        <v/>
      </c>
      <c r="I691" s="34"/>
      <c r="J691" s="14"/>
    </row>
    <row r="692" hidden="1">
      <c r="A692" s="90" t="str">
        <f>HYPERLINK("https://github.com/pytorch/pytorch/blob/f99ab991dcd3719ee25dd3377a53ea12e518308e/test/torch_np/numpy_tests/core/test_numeric.py#L68", "TestResize")</f>
        <v>TestResize</v>
      </c>
      <c r="B692" s="91" t="s">
        <v>1041</v>
      </c>
      <c r="C692" s="91"/>
      <c r="D692" s="91" t="s">
        <v>912</v>
      </c>
      <c r="E692" s="92"/>
      <c r="F692" s="48" t="s">
        <v>644</v>
      </c>
      <c r="G692" s="93" t="b">
        <f>IF(G610=TRUE,TRUE,FALSE)</f>
        <v>0</v>
      </c>
      <c r="H692" s="34" t="str">
        <f>IF(G692=TRUE,H610,"")</f>
        <v/>
      </c>
      <c r="I692" s="34"/>
      <c r="J692" s="14"/>
    </row>
    <row r="693" hidden="1">
      <c r="A693" s="85" t="str">
        <f>HYPERLINK("https://github.com/pytorch/pytorch/blob/f99ab991dcd3719ee25dd3377a53ea12e518308e/test/torch_np/numpy_tests/core/test_numeric.py#L118", "TestNonarrayArgs")</f>
        <v>TestNonarrayArgs</v>
      </c>
      <c r="B693" s="86" t="s">
        <v>1041</v>
      </c>
      <c r="C693" s="86"/>
      <c r="D693" s="86" t="s">
        <v>912</v>
      </c>
      <c r="E693" s="87"/>
      <c r="F693" s="48" t="s">
        <v>644</v>
      </c>
      <c r="G693" s="88" t="b">
        <f>IF(G610=TRUE,TRUE,FALSE)</f>
        <v>0</v>
      </c>
      <c r="H693" s="34" t="str">
        <f>IF(G693=TRUE,H610,"")</f>
        <v/>
      </c>
      <c r="I693" s="34"/>
      <c r="J693" s="14"/>
    </row>
    <row r="694" hidden="1">
      <c r="A694" s="90" t="str">
        <f>HYPERLINK("https://github.com/pytorch/pytorch/blob/f99ab991dcd3719ee25dd3377a53ea12e518308e/test/torch_np/numpy_tests/core/test_numeric.py#L349", "TestIsscalar")</f>
        <v>TestIsscalar</v>
      </c>
      <c r="B694" s="91" t="s">
        <v>1041</v>
      </c>
      <c r="C694" s="91"/>
      <c r="D694" s="91" t="s">
        <v>912</v>
      </c>
      <c r="E694" s="92"/>
      <c r="F694" s="48" t="s">
        <v>644</v>
      </c>
      <c r="G694" s="93" t="b">
        <f>IF(G610=TRUE,TRUE,FALSE)</f>
        <v>0</v>
      </c>
      <c r="H694" s="34" t="str">
        <f>IF(G694=TRUE,H610,"")</f>
        <v/>
      </c>
      <c r="I694" s="34"/>
      <c r="J694" s="14"/>
    </row>
    <row r="695" hidden="1">
      <c r="A695" s="85" t="str">
        <f>HYPERLINK("https://github.com/pytorch/pytorch/blob/f99ab991dcd3719ee25dd3377a53ea12e518308e/test/torch_np/numpy_tests/core/test_numeric.py#L367", "TestBoolScalar")</f>
        <v>TestBoolScalar</v>
      </c>
      <c r="B695" s="86" t="s">
        <v>1041</v>
      </c>
      <c r="C695" s="86"/>
      <c r="D695" s="86" t="s">
        <v>912</v>
      </c>
      <c r="E695" s="87"/>
      <c r="F695" s="48" t="s">
        <v>644</v>
      </c>
      <c r="G695" s="88" t="b">
        <f>IF(G610=TRUE,TRUE,FALSE)</f>
        <v>0</v>
      </c>
      <c r="H695" s="34" t="str">
        <f>IF(G695=TRUE,H610,"")</f>
        <v/>
      </c>
      <c r="I695" s="34"/>
      <c r="J695" s="14"/>
    </row>
    <row r="696" hidden="1">
      <c r="A696" s="90" t="str">
        <f>HYPERLINK("https://github.com/pytorch/pytorch/blob/f99ab991dcd3719ee25dd3377a53ea12e518308e/test/torch_np/numpy_tests/core/test_numeric.py#L424", "TestBoolArray")</f>
        <v>TestBoolArray</v>
      </c>
      <c r="B696" s="91" t="s">
        <v>1041</v>
      </c>
      <c r="C696" s="91"/>
      <c r="D696" s="91" t="s">
        <v>912</v>
      </c>
      <c r="E696" s="92"/>
      <c r="F696" s="48" t="s">
        <v>644</v>
      </c>
      <c r="G696" s="93" t="b">
        <f>IF(G610=TRUE,TRUE,FALSE)</f>
        <v>0</v>
      </c>
      <c r="H696" s="34" t="str">
        <f>IF(G696=TRUE,H610,"")</f>
        <v/>
      </c>
      <c r="I696" s="34"/>
      <c r="J696" s="14"/>
    </row>
    <row r="697" hidden="1">
      <c r="A697" s="85" t="str">
        <f>HYPERLINK("https://github.com/pytorch/pytorch/blob/f99ab991dcd3719ee25dd3377a53ea12e518308e/test/torch_np/numpy_tests/core/test_numeric.py#L513", "TestBoolCmp")</f>
        <v>TestBoolCmp</v>
      </c>
      <c r="B697" s="86" t="s">
        <v>1041</v>
      </c>
      <c r="C697" s="86"/>
      <c r="D697" s="86" t="s">
        <v>912</v>
      </c>
      <c r="E697" s="87"/>
      <c r="F697" s="48" t="s">
        <v>644</v>
      </c>
      <c r="G697" s="88" t="b">
        <f>IF(G610=TRUE,TRUE,FALSE)</f>
        <v>0</v>
      </c>
      <c r="H697" s="34" t="str">
        <f>IF(G697=TRUE,H610,"")</f>
        <v/>
      </c>
      <c r="I697" s="34"/>
      <c r="J697" s="14"/>
    </row>
    <row r="698" hidden="1">
      <c r="A698" s="90" t="str">
        <f>HYPERLINK("https://github.com/pytorch/pytorch/blob/f99ab991dcd3719ee25dd3377a53ea12e518308e/test/torch_np/numpy_tests/core/test_numeric.py#L615", "TestSeterr")</f>
        <v>TestSeterr</v>
      </c>
      <c r="B698" s="91" t="s">
        <v>1041</v>
      </c>
      <c r="C698" s="91"/>
      <c r="D698" s="91" t="s">
        <v>912</v>
      </c>
      <c r="E698" s="92"/>
      <c r="F698" s="48" t="s">
        <v>644</v>
      </c>
      <c r="G698" s="93" t="b">
        <f>IF(G610=TRUE,TRUE,FALSE)</f>
        <v>0</v>
      </c>
      <c r="H698" s="34" t="str">
        <f>IF(G698=TRUE,H610,"")</f>
        <v/>
      </c>
      <c r="I698" s="34"/>
      <c r="J698" s="14"/>
    </row>
    <row r="699" hidden="1">
      <c r="A699" s="85" t="str">
        <f>HYPERLINK("https://github.com/pytorch/pytorch/blob/f99ab991dcd3719ee25dd3377a53ea12e518308e/test/torch_np/numpy_tests/core/test_numeric.py#L675", "TestFloatExceptions")</f>
        <v>TestFloatExceptions</v>
      </c>
      <c r="B699" s="86" t="s">
        <v>1041</v>
      </c>
      <c r="C699" s="86"/>
      <c r="D699" s="86" t="s">
        <v>912</v>
      </c>
      <c r="E699" s="87"/>
      <c r="F699" s="48" t="s">
        <v>644</v>
      </c>
      <c r="G699" s="88" t="b">
        <f>IF(G610=TRUE,TRUE,FALSE)</f>
        <v>0</v>
      </c>
      <c r="H699" s="34" t="str">
        <f>IF(G699=TRUE,H610,"")</f>
        <v/>
      </c>
      <c r="I699" s="34"/>
      <c r="J699" s="14"/>
    </row>
    <row r="700" hidden="1">
      <c r="A700" s="90" t="str">
        <f>HYPERLINK("https://github.com/pytorch/pytorch/blob/f99ab991dcd3719ee25dd3377a53ea12e518308e/test/torch_np/numpy_tests/core/test_numeric.py#L762", "TestTypes")</f>
        <v>TestTypes</v>
      </c>
      <c r="B700" s="91" t="s">
        <v>1041</v>
      </c>
      <c r="C700" s="91"/>
      <c r="D700" s="91" t="s">
        <v>912</v>
      </c>
      <c r="E700" s="92"/>
      <c r="F700" s="48" t="s">
        <v>644</v>
      </c>
      <c r="G700" s="93" t="b">
        <f>IF(G610=TRUE,TRUE,FALSE)</f>
        <v>0</v>
      </c>
      <c r="H700" s="34" t="str">
        <f>IF(G700=TRUE,H610,"")</f>
        <v/>
      </c>
      <c r="I700" s="34"/>
      <c r="J700" s="14"/>
    </row>
    <row r="701" hidden="1">
      <c r="A701" s="85" t="str">
        <f>HYPERLINK("https://github.com/pytorch/pytorch/blob/f99ab991dcd3719ee25dd3377a53ea12e518308e/test/torch_np/numpy_tests/core/test_numeric.py#L951", "TestFromiter")</f>
        <v>TestFromiter</v>
      </c>
      <c r="B701" s="86" t="s">
        <v>1041</v>
      </c>
      <c r="C701" s="86"/>
      <c r="D701" s="86" t="s">
        <v>912</v>
      </c>
      <c r="E701" s="87"/>
      <c r="F701" s="48" t="s">
        <v>644</v>
      </c>
      <c r="G701" s="88" t="b">
        <f>IF(G610=TRUE,TRUE,FALSE)</f>
        <v>0</v>
      </c>
      <c r="H701" s="34" t="str">
        <f>IF(G701=TRUE,H610,"")</f>
        <v/>
      </c>
      <c r="I701" s="34"/>
      <c r="J701" s="14"/>
    </row>
    <row r="702" hidden="1">
      <c r="A702" s="90" t="str">
        <f>HYPERLINK("https://github.com/pytorch/pytorch/blob/f99ab991dcd3719ee25dd3377a53ea12e518308e/test/torch_np/numpy_tests/core/test_numeric.py#L1026", "TestNonzeroAndCountNonzero")</f>
        <v>TestNonzeroAndCountNonzero</v>
      </c>
      <c r="B702" s="91" t="s">
        <v>1041</v>
      </c>
      <c r="C702" s="91"/>
      <c r="D702" s="91" t="s">
        <v>912</v>
      </c>
      <c r="E702" s="92"/>
      <c r="F702" s="48" t="s">
        <v>644</v>
      </c>
      <c r="G702" s="93" t="b">
        <f>IF(G610=TRUE,TRUE,FALSE)</f>
        <v>0</v>
      </c>
      <c r="H702" s="34" t="str">
        <f>IF(G702=TRUE,H610,"")</f>
        <v/>
      </c>
      <c r="I702" s="34"/>
      <c r="J702" s="14"/>
    </row>
    <row r="703" hidden="1">
      <c r="A703" s="85" t="str">
        <f>HYPERLINK("https://github.com/pytorch/pytorch/blob/f99ab991dcd3719ee25dd3377a53ea12e518308e/test/torch_np/numpy_tests/core/test_numeric.py#L1174", "TestIndex")</f>
        <v>TestIndex</v>
      </c>
      <c r="B703" s="86" t="s">
        <v>1041</v>
      </c>
      <c r="C703" s="86"/>
      <c r="D703" s="86" t="s">
        <v>912</v>
      </c>
      <c r="E703" s="87"/>
      <c r="F703" s="48" t="s">
        <v>644</v>
      </c>
      <c r="G703" s="88" t="b">
        <f>IF(G610=TRUE,TRUE,FALSE)</f>
        <v>0</v>
      </c>
      <c r="H703" s="34" t="str">
        <f>IF(G703=TRUE,H610,"")</f>
        <v/>
      </c>
      <c r="I703" s="34"/>
      <c r="J703" s="14"/>
    </row>
    <row r="704" hidden="1">
      <c r="A704" s="90" t="str">
        <f>HYPERLINK("https://github.com/pytorch/pytorch/blob/f99ab991dcd3719ee25dd3377a53ea12e518308e/test/torch_np/numpy_tests/core/test_numeric.py#L1194", "TestBinaryRepr")</f>
        <v>TestBinaryRepr</v>
      </c>
      <c r="B704" s="91" t="s">
        <v>1041</v>
      </c>
      <c r="C704" s="91"/>
      <c r="D704" s="91" t="s">
        <v>912</v>
      </c>
      <c r="E704" s="92"/>
      <c r="F704" s="48" t="s">
        <v>644</v>
      </c>
      <c r="G704" s="93" t="b">
        <f>IF(G610=TRUE,TRUE,FALSE)</f>
        <v>0</v>
      </c>
      <c r="H704" s="34" t="str">
        <f>IF(G704=TRUE,H610,"")</f>
        <v/>
      </c>
      <c r="I704" s="34"/>
      <c r="J704" s="14"/>
    </row>
    <row r="705" hidden="1">
      <c r="A705" s="85" t="str">
        <f>HYPERLINK("https://github.com/pytorch/pytorch/blob/f99ab991dcd3719ee25dd3377a53ea12e518308e/test/torch_np/numpy_tests/core/test_numeric.py#L1232", "TestBaseRepr")</f>
        <v>TestBaseRepr</v>
      </c>
      <c r="B705" s="86" t="s">
        <v>1041</v>
      </c>
      <c r="C705" s="86"/>
      <c r="D705" s="86" t="s">
        <v>912</v>
      </c>
      <c r="E705" s="87"/>
      <c r="F705" s="48" t="s">
        <v>644</v>
      </c>
      <c r="G705" s="88" t="b">
        <f>IF(G610=TRUE,TRUE,FALSE)</f>
        <v>0</v>
      </c>
      <c r="H705" s="34" t="str">
        <f>IF(G705=TRUE,H610,"")</f>
        <v/>
      </c>
      <c r="I705" s="34"/>
      <c r="J705" s="14"/>
    </row>
    <row r="706" hidden="1">
      <c r="A706" s="90" t="str">
        <f>HYPERLINK("https://github.com/pytorch/pytorch/blob/f99ab991dcd3719ee25dd3377a53ea12e518308e/test/torch_np/numpy_tests/core/test_numeric.py#L1254", "TestArrayComparisons")</f>
        <v>TestArrayComparisons</v>
      </c>
      <c r="B706" s="91" t="s">
        <v>1041</v>
      </c>
      <c r="C706" s="91"/>
      <c r="D706" s="91" t="s">
        <v>912</v>
      </c>
      <c r="E706" s="92"/>
      <c r="F706" s="48" t="s">
        <v>644</v>
      </c>
      <c r="G706" s="93" t="b">
        <f>IF(G610=TRUE,TRUE,FALSE)</f>
        <v>0</v>
      </c>
      <c r="H706" s="34" t="str">
        <f>IF(G706=TRUE,H610,"")</f>
        <v/>
      </c>
      <c r="I706" s="34"/>
      <c r="J706" s="14"/>
    </row>
    <row r="707" hidden="1">
      <c r="A707" s="85" t="str">
        <f>HYPERLINK("https://github.com/pytorch/pytorch/blob/f99ab991dcd3719ee25dd3377a53ea12e518308e/test/torch_np/numpy_tests/core/test_numeric.py#L1338", "TestClip")</f>
        <v>TestClip</v>
      </c>
      <c r="B707" s="86" t="s">
        <v>1041</v>
      </c>
      <c r="C707" s="86"/>
      <c r="D707" s="86" t="s">
        <v>912</v>
      </c>
      <c r="E707" s="87"/>
      <c r="F707" s="48" t="s">
        <v>644</v>
      </c>
      <c r="G707" s="88" t="b">
        <f>IF(G610=TRUE,TRUE,FALSE)</f>
        <v>0</v>
      </c>
      <c r="H707" s="34" t="str">
        <f>IF(G707=TRUE,H610,"")</f>
        <v/>
      </c>
      <c r="I707" s="34"/>
      <c r="J707" s="14"/>
    </row>
    <row r="708" hidden="1">
      <c r="A708" s="90" t="str">
        <f>HYPERLINK("https://github.com/pytorch/pytorch/blob/f99ab991dcd3719ee25dd3377a53ea12e518308e/test/torch_np/numpy_tests/core/test_numeric.py#L1939", "TestAllclose")</f>
        <v>TestAllclose</v>
      </c>
      <c r="B708" s="91" t="s">
        <v>1041</v>
      </c>
      <c r="C708" s="91"/>
      <c r="D708" s="91" t="s">
        <v>912</v>
      </c>
      <c r="E708" s="92"/>
      <c r="F708" s="48" t="s">
        <v>644</v>
      </c>
      <c r="G708" s="93" t="b">
        <f>IF(G610=TRUE,TRUE,FALSE)</f>
        <v>0</v>
      </c>
      <c r="H708" s="34" t="str">
        <f>IF(G708=TRUE,H610,"")</f>
        <v/>
      </c>
      <c r="I708" s="34"/>
      <c r="J708" s="14"/>
    </row>
    <row r="709" hidden="1">
      <c r="A709" s="85" t="str">
        <f>HYPERLINK("https://github.com/pytorch/pytorch/blob/f99ab991dcd3719ee25dd3377a53ea12e518308e/test/torch_np/numpy_tests/core/test_numeric.py#L2012", "TestIsclose")</f>
        <v>TestIsclose</v>
      </c>
      <c r="B709" s="86" t="s">
        <v>1041</v>
      </c>
      <c r="C709" s="86"/>
      <c r="D709" s="86" t="s">
        <v>912</v>
      </c>
      <c r="E709" s="87"/>
      <c r="F709" s="48" t="s">
        <v>644</v>
      </c>
      <c r="G709" s="88" t="b">
        <f>IF(G610=TRUE,TRUE,FALSE)</f>
        <v>0</v>
      </c>
      <c r="H709" s="34" t="str">
        <f>IF(G709=TRUE,H610,"")</f>
        <v/>
      </c>
      <c r="I709" s="34"/>
      <c r="J709" s="14"/>
    </row>
    <row r="710" hidden="1">
      <c r="A710" s="90" t="str">
        <f>HYPERLINK("https://github.com/pytorch/pytorch/blob/f99ab991dcd3719ee25dd3377a53ea12e518308e/test/torch_np/numpy_tests/core/test_numeric.py#L2123", "TestStdVar")</f>
        <v>TestStdVar</v>
      </c>
      <c r="B710" s="91" t="s">
        <v>1041</v>
      </c>
      <c r="C710" s="91"/>
      <c r="D710" s="91" t="s">
        <v>912</v>
      </c>
      <c r="E710" s="92"/>
      <c r="F710" s="48" t="s">
        <v>644</v>
      </c>
      <c r="G710" s="93" t="b">
        <f>IF(G610=TRUE,TRUE,FALSE)</f>
        <v>0</v>
      </c>
      <c r="H710" s="34" t="str">
        <f>IF(G710=TRUE,H610,"")</f>
        <v/>
      </c>
      <c r="I710" s="34"/>
      <c r="J710" s="14"/>
    </row>
    <row r="711" hidden="1">
      <c r="A711" s="85" t="str">
        <f>HYPERLINK("https://github.com/pytorch/pytorch/blob/f99ab991dcd3719ee25dd3377a53ea12e518308e/test/torch_np/numpy_tests/core/test_numeric.py#L2167", "TestStdVarComplex")</f>
        <v>TestStdVarComplex</v>
      </c>
      <c r="B711" s="86" t="s">
        <v>1041</v>
      </c>
      <c r="C711" s="86"/>
      <c r="D711" s="86" t="s">
        <v>912</v>
      </c>
      <c r="E711" s="87"/>
      <c r="F711" s="48" t="s">
        <v>644</v>
      </c>
      <c r="G711" s="88" t="b">
        <f>IF(G610=TRUE,TRUE,FALSE)</f>
        <v>0</v>
      </c>
      <c r="H711" s="34" t="str">
        <f>IF(G711=TRUE,H610,"")</f>
        <v/>
      </c>
      <c r="I711" s="34"/>
      <c r="J711" s="14"/>
    </row>
    <row r="712" hidden="1">
      <c r="A712" s="90" t="str">
        <f>HYPERLINK("https://github.com/pytorch/pytorch/blob/f99ab991dcd3719ee25dd3377a53ea12e518308e/test/torch_np/numpy_tests/core/test_numeric.py#L2179", "TestCreationFuncs")</f>
        <v>TestCreationFuncs</v>
      </c>
      <c r="B712" s="91" t="s">
        <v>1041</v>
      </c>
      <c r="C712" s="91"/>
      <c r="D712" s="91" t="s">
        <v>912</v>
      </c>
      <c r="E712" s="92"/>
      <c r="F712" s="48" t="s">
        <v>644</v>
      </c>
      <c r="G712" s="93" t="b">
        <f>IF(G610=TRUE,TRUE,FALSE)</f>
        <v>0</v>
      </c>
      <c r="H712" s="34" t="str">
        <f>IF(G712=TRUE,H610,"")</f>
        <v/>
      </c>
      <c r="I712" s="34"/>
      <c r="J712" s="14"/>
    </row>
    <row r="713" hidden="1">
      <c r="A713" s="85" t="str">
        <f>HYPERLINK("https://github.com/pytorch/pytorch/blob/f99ab991dcd3719ee25dd3377a53ea12e518308e/test/torch_np/numpy_tests/core/test_numeric.py#L2240", "TestLikeFuncs")</f>
        <v>TestLikeFuncs</v>
      </c>
      <c r="B713" s="86" t="s">
        <v>1041</v>
      </c>
      <c r="C713" s="86"/>
      <c r="D713" s="86" t="s">
        <v>912</v>
      </c>
      <c r="E713" s="87"/>
      <c r="F713" s="48" t="s">
        <v>644</v>
      </c>
      <c r="G713" s="88" t="b">
        <f>IF(G610=TRUE,TRUE,FALSE)</f>
        <v>0</v>
      </c>
      <c r="H713" s="34" t="str">
        <f>IF(G713=TRUE,H610,"")</f>
        <v/>
      </c>
      <c r="I713" s="34"/>
      <c r="J713" s="14"/>
    </row>
    <row r="714" hidden="1">
      <c r="A714" s="90" t="str">
        <f>HYPERLINK("https://github.com/pytorch/pytorch/blob/f99ab991dcd3719ee25dd3377a53ea12e518308e/test/torch_np/numpy_tests/core/test_numeric.py#L2415", "TestCorrelate")</f>
        <v>TestCorrelate</v>
      </c>
      <c r="B714" s="91" t="s">
        <v>1041</v>
      </c>
      <c r="C714" s="91"/>
      <c r="D714" s="91" t="s">
        <v>912</v>
      </c>
      <c r="E714" s="92"/>
      <c r="F714" s="48" t="s">
        <v>644</v>
      </c>
      <c r="G714" s="93" t="b">
        <f>IF(G610=TRUE,TRUE,FALSE)</f>
        <v>0</v>
      </c>
      <c r="H714" s="34" t="str">
        <f>IF(G714=TRUE,H610,"")</f>
        <v/>
      </c>
      <c r="I714" s="34"/>
      <c r="J714" s="14"/>
    </row>
    <row r="715" hidden="1">
      <c r="A715" s="85" t="str">
        <f>HYPERLINK("https://github.com/pytorch/pytorch/blob/f99ab991dcd3719ee25dd3377a53ea12e518308e/test/torch_np/numpy_tests/core/test_numeric.py#L2482", "TestConvolve")</f>
        <v>TestConvolve</v>
      </c>
      <c r="B715" s="86" t="s">
        <v>1041</v>
      </c>
      <c r="C715" s="86"/>
      <c r="D715" s="86" t="s">
        <v>912</v>
      </c>
      <c r="E715" s="87"/>
      <c r="F715" s="48" t="s">
        <v>644</v>
      </c>
      <c r="G715" s="88" t="b">
        <f>IF(G610=TRUE,TRUE,FALSE)</f>
        <v>0</v>
      </c>
      <c r="H715" s="34" t="str">
        <f>IF(G715=TRUE,H610,"")</f>
        <v/>
      </c>
      <c r="I715" s="34"/>
      <c r="J715" s="14"/>
    </row>
    <row r="716" hidden="1">
      <c r="A716" s="90" t="str">
        <f>HYPERLINK("https://github.com/pytorch/pytorch/blob/f99ab991dcd3719ee25dd3377a53ea12e518308e/test/torch_np/numpy_tests/core/test_numeric.py#L2522", "TestDtypePositional")</f>
        <v>TestDtypePositional</v>
      </c>
      <c r="B716" s="91" t="s">
        <v>1041</v>
      </c>
      <c r="C716" s="91"/>
      <c r="D716" s="91" t="s">
        <v>912</v>
      </c>
      <c r="E716" s="92"/>
      <c r="F716" s="48" t="s">
        <v>644</v>
      </c>
      <c r="G716" s="93" t="b">
        <f>IF(G610=TRUE,TRUE,FALSE)</f>
        <v>0</v>
      </c>
      <c r="H716" s="34" t="str">
        <f>IF(G716=TRUE,H610,"")</f>
        <v/>
      </c>
      <c r="I716" s="34"/>
      <c r="J716" s="14"/>
    </row>
    <row r="717" hidden="1">
      <c r="A717" s="85" t="str">
        <f>HYPERLINK("https://github.com/pytorch/pytorch/blob/f99ab991dcd3719ee25dd3377a53ea12e518308e/test/torch_np/numpy_tests/core/test_numeric.py#L2528", "TestArgwhere")</f>
        <v>TestArgwhere</v>
      </c>
      <c r="B717" s="86" t="s">
        <v>1041</v>
      </c>
      <c r="C717" s="86"/>
      <c r="D717" s="86" t="s">
        <v>912</v>
      </c>
      <c r="E717" s="87"/>
      <c r="F717" s="48" t="s">
        <v>644</v>
      </c>
      <c r="G717" s="88" t="b">
        <f>IF(G610=TRUE,TRUE,FALSE)</f>
        <v>0</v>
      </c>
      <c r="H717" s="34" t="str">
        <f>IF(G717=TRUE,H610,"")</f>
        <v/>
      </c>
      <c r="I717" s="34"/>
      <c r="J717" s="14"/>
    </row>
    <row r="718" hidden="1">
      <c r="A718" s="90" t="str">
        <f>HYPERLINK("https://github.com/pytorch/pytorch/blob/f99ab991dcd3719ee25dd3377a53ea12e518308e/test/torch_np/numpy_tests/core/test_numeric.py#L2561", "TestStringFunction")</f>
        <v>TestStringFunction</v>
      </c>
      <c r="B718" s="91" t="s">
        <v>1041</v>
      </c>
      <c r="C718" s="91"/>
      <c r="D718" s="91" t="s">
        <v>912</v>
      </c>
      <c r="E718" s="92"/>
      <c r="F718" s="48" t="s">
        <v>644</v>
      </c>
      <c r="G718" s="93" t="b">
        <f>IF(G610=TRUE,TRUE,FALSE)</f>
        <v>0</v>
      </c>
      <c r="H718" s="34" t="str">
        <f>IF(G718=TRUE,H610,"")</f>
        <v/>
      </c>
      <c r="I718" s="34"/>
      <c r="J718" s="14"/>
    </row>
    <row r="719" hidden="1">
      <c r="A719" s="85" t="str">
        <f>HYPERLINK("https://github.com/pytorch/pytorch/blob/f99ab991dcd3719ee25dd3377a53ea12e518308e/test/torch_np/numpy_tests/core/test_numeric.py#L2575", "TestRoll")</f>
        <v>TestRoll</v>
      </c>
      <c r="B719" s="86" t="s">
        <v>1041</v>
      </c>
      <c r="C719" s="86"/>
      <c r="D719" s="86" t="s">
        <v>912</v>
      </c>
      <c r="E719" s="87"/>
      <c r="F719" s="48" t="s">
        <v>644</v>
      </c>
      <c r="G719" s="88" t="b">
        <f>IF(G610=TRUE,TRUE,FALSE)</f>
        <v>0</v>
      </c>
      <c r="H719" s="34" t="str">
        <f>IF(G719=TRUE,H610,"")</f>
        <v/>
      </c>
      <c r="I719" s="34"/>
      <c r="J719" s="14"/>
    </row>
    <row r="720" hidden="1">
      <c r="A720" s="90" t="str">
        <f>HYPERLINK("https://github.com/pytorch/pytorch/blob/f99ab991dcd3719ee25dd3377a53ea12e518308e/test/torch_np/numpy_tests/core/test_numeric.py#L2633", "TestRollaxis")</f>
        <v>TestRollaxis</v>
      </c>
      <c r="B720" s="91" t="s">
        <v>1041</v>
      </c>
      <c r="C720" s="91"/>
      <c r="D720" s="91" t="s">
        <v>912</v>
      </c>
      <c r="E720" s="92"/>
      <c r="F720" s="48" t="s">
        <v>644</v>
      </c>
      <c r="G720" s="93" t="b">
        <f>IF(G610=TRUE,TRUE,FALSE)</f>
        <v>0</v>
      </c>
      <c r="H720" s="34" t="str">
        <f>IF(G720=TRUE,H610,"")</f>
        <v/>
      </c>
      <c r="I720" s="34"/>
      <c r="J720" s="14"/>
    </row>
    <row r="721" hidden="1">
      <c r="A721" s="85" t="str">
        <f>HYPERLINK("https://github.com/pytorch/pytorch/blob/f99ab991dcd3719ee25dd3377a53ea12e518308e/test/torch_np/numpy_tests/core/test_numeric.py#L2705", "TestMoveaxis")</f>
        <v>TestMoveaxis</v>
      </c>
      <c r="B721" s="86" t="s">
        <v>1041</v>
      </c>
      <c r="C721" s="86"/>
      <c r="D721" s="86" t="s">
        <v>912</v>
      </c>
      <c r="E721" s="87"/>
      <c r="F721" s="48" t="s">
        <v>644</v>
      </c>
      <c r="G721" s="88" t="b">
        <f>IF(G610=TRUE,TRUE,FALSE)</f>
        <v>0</v>
      </c>
      <c r="H721" s="34" t="str">
        <f>IF(G721=TRUE,H610,"")</f>
        <v/>
      </c>
      <c r="I721" s="34"/>
      <c r="J721" s="14"/>
    </row>
    <row r="722" hidden="1">
      <c r="A722" s="90" t="str">
        <f>HYPERLINK("https://github.com/pytorch/pytorch/blob/f99ab991dcd3719ee25dd3377a53ea12e518308e/test/torch_np/numpy_tests/core/test_numeric.py#L2798", "TestCross")</f>
        <v>TestCross</v>
      </c>
      <c r="B722" s="91" t="s">
        <v>1041</v>
      </c>
      <c r="C722" s="91"/>
      <c r="D722" s="91" t="s">
        <v>912</v>
      </c>
      <c r="E722" s="92"/>
      <c r="F722" s="48" t="s">
        <v>644</v>
      </c>
      <c r="G722" s="93" t="b">
        <f>IF(G610=TRUE,TRUE,FALSE)</f>
        <v>0</v>
      </c>
      <c r="H722" s="34" t="str">
        <f>IF(G722=TRUE,H610,"")</f>
        <v/>
      </c>
      <c r="I722" s="34"/>
      <c r="J722" s="14"/>
    </row>
    <row r="723" hidden="1">
      <c r="A723" s="85" t="str">
        <f>HYPERLINK("https://github.com/pytorch/pytorch/blob/f99ab991dcd3719ee25dd3377a53ea12e518308e/test/torch_np/numpy_tests/core/test_numeric.py#L2885", "TestOuterMisc")</f>
        <v>TestOuterMisc</v>
      </c>
      <c r="B723" s="86" t="s">
        <v>1041</v>
      </c>
      <c r="C723" s="86"/>
      <c r="D723" s="86" t="s">
        <v>912</v>
      </c>
      <c r="E723" s="87"/>
      <c r="F723" s="48" t="s">
        <v>644</v>
      </c>
      <c r="G723" s="88" t="b">
        <f>IF(G610=TRUE,TRUE,FALSE)</f>
        <v>0</v>
      </c>
      <c r="H723" s="34" t="str">
        <f>IF(G723=TRUE,H610,"")</f>
        <v/>
      </c>
      <c r="I723" s="34"/>
      <c r="J723" s="14"/>
    </row>
    <row r="724" hidden="1">
      <c r="A724" s="90" t="str">
        <f>HYPERLINK("https://github.com/pytorch/pytorch/blob/f99ab991dcd3719ee25dd3377a53ea12e518308e/test/torch_np/numpy_tests/core/test_numeric.py#L2898", "TestIndices")</f>
        <v>TestIndices</v>
      </c>
      <c r="B724" s="91" t="s">
        <v>1041</v>
      </c>
      <c r="C724" s="91"/>
      <c r="D724" s="91" t="s">
        <v>912</v>
      </c>
      <c r="E724" s="92"/>
      <c r="F724" s="48" t="s">
        <v>644</v>
      </c>
      <c r="G724" s="93" t="b">
        <f>IF(G610=TRUE,TRUE,FALSE)</f>
        <v>0</v>
      </c>
      <c r="H724" s="34" t="str">
        <f>IF(G724=TRUE,H610,"")</f>
        <v/>
      </c>
      <c r="I724" s="34"/>
      <c r="J724" s="14"/>
    </row>
    <row r="725" hidden="1">
      <c r="A725" s="85" t="str">
        <f>HYPERLINK("https://github.com/pytorch/pytorch/blob/f99ab991dcd3719ee25dd3377a53ea12e518308e/test/torch_np/numpy_tests/core/test_numeric.py#L2933", "TestRequire")</f>
        <v>TestRequire</v>
      </c>
      <c r="B725" s="86" t="s">
        <v>1041</v>
      </c>
      <c r="C725" s="86"/>
      <c r="D725" s="86" t="s">
        <v>912</v>
      </c>
      <c r="E725" s="87"/>
      <c r="F725" s="48" t="s">
        <v>644</v>
      </c>
      <c r="G725" s="88" t="b">
        <f>IF(G610=TRUE,TRUE,FALSE)</f>
        <v>0</v>
      </c>
      <c r="H725" s="34" t="str">
        <f>IF(G725=TRUE,H610,"")</f>
        <v/>
      </c>
      <c r="I725" s="34"/>
      <c r="J725" s="14"/>
    </row>
    <row r="726" hidden="1">
      <c r="A726" s="90" t="str">
        <f>HYPERLINK("https://github.com/pytorch/pytorch/blob/f99ab991dcd3719ee25dd3377a53ea12e518308e/test/torch_np/numpy_tests/core/test_numeric.py#L3000", "TestBroadcast")</f>
        <v>TestBroadcast</v>
      </c>
      <c r="B726" s="91" t="s">
        <v>1041</v>
      </c>
      <c r="C726" s="91"/>
      <c r="D726" s="91" t="s">
        <v>912</v>
      </c>
      <c r="E726" s="92"/>
      <c r="F726" s="48" t="s">
        <v>644</v>
      </c>
      <c r="G726" s="93" t="b">
        <f>IF(G610=TRUE,TRUE,FALSE)</f>
        <v>0</v>
      </c>
      <c r="H726" s="34" t="str">
        <f>IF(G726=TRUE,H610,"")</f>
        <v/>
      </c>
      <c r="I726" s="34"/>
      <c r="J726" s="14"/>
    </row>
    <row r="727" hidden="1">
      <c r="A727" s="85" t="str">
        <f>HYPERLINK("https://github.com/pytorch/pytorch/blob/f99ab991dcd3719ee25dd3377a53ea12e518308e/test/torch_np/numpy_tests/core/test_numeric.py#L3066", "TestTensordot")</f>
        <v>TestTensordot</v>
      </c>
      <c r="B727" s="86" t="s">
        <v>1041</v>
      </c>
      <c r="C727" s="86"/>
      <c r="D727" s="86" t="s">
        <v>912</v>
      </c>
      <c r="E727" s="87"/>
      <c r="F727" s="48" t="s">
        <v>644</v>
      </c>
      <c r="G727" s="88" t="b">
        <f>IF(G610=TRUE,TRUE,FALSE)</f>
        <v>0</v>
      </c>
      <c r="H727" s="34" t="str">
        <f>IF(G727=TRUE,H610,"")</f>
        <v/>
      </c>
      <c r="I727" s="34"/>
      <c r="J727" s="14"/>
    </row>
    <row r="728" hidden="1">
      <c r="A728" s="90" t="str">
        <f>HYPERLINK("https://github.com/pytorch/pytorch/blob/f99ab991dcd3719ee25dd3377a53ea12e518308e/test/torch_np/numpy_tests/core/test_numerictypes.py#L36", "TestCommonType")</f>
        <v>TestCommonType</v>
      </c>
      <c r="B728" s="91" t="s">
        <v>1042</v>
      </c>
      <c r="C728" s="91"/>
      <c r="D728" s="91" t="s">
        <v>912</v>
      </c>
      <c r="E728" s="92"/>
      <c r="F728" s="48" t="s">
        <v>644</v>
      </c>
      <c r="G728" s="93" t="b">
        <f>IF(G610=TRUE,TRUE,FALSE)</f>
        <v>0</v>
      </c>
      <c r="H728" s="34" t="str">
        <f>IF(G728=TRUE,H610,"")</f>
        <v/>
      </c>
      <c r="I728" s="34"/>
      <c r="J728" s="14"/>
    </row>
    <row r="729" hidden="1">
      <c r="A729" s="85" t="str">
        <f>HYPERLINK("https://github.com/pytorch/pytorch/blob/f99ab991dcd3719ee25dd3377a53ea12e518308e/test/torch_np/numpy_tests/core/test_numerictypes.py#L58", "TestIsSubDType")</f>
        <v>TestIsSubDType</v>
      </c>
      <c r="B729" s="86" t="s">
        <v>1042</v>
      </c>
      <c r="C729" s="86"/>
      <c r="D729" s="86" t="s">
        <v>912</v>
      </c>
      <c r="E729" s="87"/>
      <c r="F729" s="48" t="s">
        <v>644</v>
      </c>
      <c r="G729" s="88" t="b">
        <f>IF(G610=TRUE,TRUE,FALSE)</f>
        <v>0</v>
      </c>
      <c r="H729" s="34" t="str">
        <f>IF(G729=TRUE,H610,"")</f>
        <v/>
      </c>
      <c r="I729" s="34"/>
      <c r="J729" s="14"/>
    </row>
    <row r="730" hidden="1">
      <c r="A730" s="90" t="str">
        <f>HYPERLINK("https://github.com/pytorch/pytorch/blob/f99ab991dcd3719ee25dd3377a53ea12e518308e/test/torch_np/numpy_tests/core/test_numerictypes.py#L134", "TestBitName")</f>
        <v>TestBitName</v>
      </c>
      <c r="B730" s="91" t="s">
        <v>1042</v>
      </c>
      <c r="C730" s="91"/>
      <c r="D730" s="91" t="s">
        <v>912</v>
      </c>
      <c r="E730" s="92"/>
      <c r="F730" s="48" t="s">
        <v>644</v>
      </c>
      <c r="G730" s="93" t="b">
        <f>IF(G610=TRUE,TRUE,FALSE)</f>
        <v>0</v>
      </c>
      <c r="H730" s="34" t="str">
        <f>IF(G730=TRUE,H610,"")</f>
        <v/>
      </c>
      <c r="I730" s="34"/>
      <c r="J730" s="14"/>
    </row>
    <row r="731" hidden="1">
      <c r="A731" s="85" t="str">
        <f>HYPERLINK("https://github.com/pytorch/pytorch/blob/f99ab991dcd3719ee25dd3377a53ea12e518308e/test/torch_np/numpy_tests/core/test_numerictypes.py#L144", "TestDocStrings")</f>
        <v>TestDocStrings</v>
      </c>
      <c r="B731" s="86" t="s">
        <v>1042</v>
      </c>
      <c r="C731" s="86"/>
      <c r="D731" s="86" t="s">
        <v>912</v>
      </c>
      <c r="E731" s="87"/>
      <c r="F731" s="48" t="s">
        <v>644</v>
      </c>
      <c r="G731" s="88" t="b">
        <f>IF(G610=TRUE,TRUE,FALSE)</f>
        <v>0</v>
      </c>
      <c r="H731" s="34" t="str">
        <f>IF(G731=TRUE,H610,"")</f>
        <v/>
      </c>
      <c r="I731" s="34"/>
      <c r="J731" s="14"/>
    </row>
    <row r="732" hidden="1">
      <c r="A732" s="90" t="str">
        <f>HYPERLINK("https://github.com/pytorch/pytorch/blob/f99ab991dcd3719ee25dd3377a53ea12e518308e/test/torch_np/numpy_tests/core/test_numerictypes.py#L153", "TestScalarTypeNames")</f>
        <v>TestScalarTypeNames</v>
      </c>
      <c r="B732" s="91" t="s">
        <v>1042</v>
      </c>
      <c r="C732" s="91"/>
      <c r="D732" s="91" t="s">
        <v>912</v>
      </c>
      <c r="E732" s="92"/>
      <c r="F732" s="48" t="s">
        <v>644</v>
      </c>
      <c r="G732" s="93" t="b">
        <f>IF(G610=TRUE,TRUE,FALSE)</f>
        <v>0</v>
      </c>
      <c r="H732" s="34" t="str">
        <f>IF(G732=TRUE,H610,"")</f>
        <v/>
      </c>
      <c r="I732" s="34"/>
      <c r="J732" s="14"/>
    </row>
    <row r="733" hidden="1">
      <c r="A733" s="85" t="str">
        <f>HYPERLINK("https://github.com/pytorch/pytorch/blob/f99ab991dcd3719ee25dd3377a53ea12e518308e/test/torch_np/numpy_tests/core/test_scalar_ctors.py#L34", "TestFromString")</f>
        <v>TestFromString</v>
      </c>
      <c r="B733" s="86" t="s">
        <v>1043</v>
      </c>
      <c r="C733" s="86"/>
      <c r="D733" s="86" t="s">
        <v>912</v>
      </c>
      <c r="E733" s="87"/>
      <c r="F733" s="48" t="s">
        <v>644</v>
      </c>
      <c r="G733" s="88" t="b">
        <f>IF(G610=TRUE,TRUE,FALSE)</f>
        <v>0</v>
      </c>
      <c r="H733" s="34" t="str">
        <f>IF(G733=TRUE,H610,"")</f>
        <v/>
      </c>
      <c r="I733" s="34"/>
      <c r="J733" s="14"/>
    </row>
    <row r="734" hidden="1">
      <c r="A734" s="90" t="str">
        <f>HYPERLINK("https://github.com/pytorch/pytorch/blob/f99ab991dcd3719ee25dd3377a53ea12e518308e/test/torch_np/numpy_tests/core/test_scalar_ctors.py#L65", "TestFromInt")</f>
        <v>TestFromInt</v>
      </c>
      <c r="B734" s="91" t="s">
        <v>1043</v>
      </c>
      <c r="C734" s="91"/>
      <c r="D734" s="91" t="s">
        <v>912</v>
      </c>
      <c r="E734" s="92"/>
      <c r="F734" s="48" t="s">
        <v>644</v>
      </c>
      <c r="G734" s="93" t="b">
        <f>IF(G610=TRUE,TRUE,FALSE)</f>
        <v>0</v>
      </c>
      <c r="H734" s="34" t="str">
        <f>IF(G734=TRUE,H610,"")</f>
        <v/>
      </c>
      <c r="I734" s="34"/>
      <c r="J734" s="14"/>
    </row>
    <row r="735" hidden="1">
      <c r="A735" s="85" t="str">
        <f>HYPERLINK("https://github.com/pytorch/pytorch/blob/f99ab991dcd3719ee25dd3377a53ea12e518308e/test/torch_np/numpy_tests/core/test_scalar_ctors.py#L88", "TestArrayFromScalar")</f>
        <v>TestArrayFromScalar</v>
      </c>
      <c r="B735" s="86" t="s">
        <v>1043</v>
      </c>
      <c r="C735" s="86"/>
      <c r="D735" s="86" t="s">
        <v>912</v>
      </c>
      <c r="E735" s="87"/>
      <c r="F735" s="48" t="s">
        <v>644</v>
      </c>
      <c r="G735" s="88" t="b">
        <f>IF(G610=TRUE,TRUE,FALSE)</f>
        <v>0</v>
      </c>
      <c r="H735" s="34" t="str">
        <f>IF(G735=TRUE,H610,"")</f>
        <v/>
      </c>
      <c r="I735" s="34"/>
      <c r="J735" s="14"/>
    </row>
    <row r="736" hidden="1">
      <c r="A736" s="90" t="str">
        <f>HYPERLINK("https://github.com/pytorch/pytorch/blob/f99ab991dcd3719ee25dd3377a53ea12e518308e/test/torch_np/numpy_tests/core/test_scalar_methods.py#L38", "TestAsIntegerRatio")</f>
        <v>TestAsIntegerRatio</v>
      </c>
      <c r="B736" s="91" t="s">
        <v>1044</v>
      </c>
      <c r="C736" s="91"/>
      <c r="D736" s="91" t="s">
        <v>912</v>
      </c>
      <c r="E736" s="92"/>
      <c r="F736" s="48" t="s">
        <v>644</v>
      </c>
      <c r="G736" s="93" t="b">
        <f>IF(G610=TRUE,TRUE,FALSE)</f>
        <v>0</v>
      </c>
      <c r="H736" s="34" t="str">
        <f>IF(G736=TRUE,H610,"")</f>
        <v/>
      </c>
      <c r="I736" s="34"/>
      <c r="J736" s="14"/>
    </row>
    <row r="737" hidden="1">
      <c r="A737" s="85" t="str">
        <f>HYPERLINK("https://github.com/pytorch/pytorch/blob/f99ab991dcd3719ee25dd3377a53ea12e518308e/test/torch_np/numpy_tests/core/test_scalar_methods.py#L142", "TestIsInteger")</f>
        <v>TestIsInteger</v>
      </c>
      <c r="B737" s="86" t="s">
        <v>1044</v>
      </c>
      <c r="C737" s="86"/>
      <c r="D737" s="86" t="s">
        <v>912</v>
      </c>
      <c r="E737" s="87"/>
      <c r="F737" s="48" t="s">
        <v>644</v>
      </c>
      <c r="G737" s="88" t="b">
        <f>IF(G610=TRUE,TRUE,FALSE)</f>
        <v>0</v>
      </c>
      <c r="H737" s="34" t="str">
        <f>IF(G737=TRUE,H610,"")</f>
        <v/>
      </c>
      <c r="I737" s="34"/>
      <c r="J737" s="14"/>
    </row>
    <row r="738" hidden="1">
      <c r="A738" s="90" t="str">
        <f>HYPERLINK("https://github.com/pytorch/pytorch/blob/f99ab991dcd3719ee25dd3377a53ea12e518308e/test/torch_np/numpy_tests/core/test_scalar_methods.py#L179", "TestClassGetItem")</f>
        <v>TestClassGetItem</v>
      </c>
      <c r="B738" s="91" t="s">
        <v>1044</v>
      </c>
      <c r="C738" s="91"/>
      <c r="D738" s="91" t="s">
        <v>912</v>
      </c>
      <c r="E738" s="92"/>
      <c r="F738" s="48" t="s">
        <v>644</v>
      </c>
      <c r="G738" s="93" t="b">
        <f>IF(G610=TRUE,TRUE,FALSE)</f>
        <v>0</v>
      </c>
      <c r="H738" s="34" t="str">
        <f>IF(G738=TRUE,H610,"")</f>
        <v/>
      </c>
      <c r="I738" s="34"/>
      <c r="J738" s="14"/>
    </row>
    <row r="739" hidden="1">
      <c r="A739" s="85" t="str">
        <f>HYPERLINK("https://github.com/pytorch/pytorch/blob/f99ab991dcd3719ee25dd3377a53ea12e518308e/test/torch_np/numpy_tests/core/test_scalar_methods.py#L254", "TestBitCount")</f>
        <v>TestBitCount</v>
      </c>
      <c r="B739" s="86" t="s">
        <v>1044</v>
      </c>
      <c r="C739" s="86"/>
      <c r="D739" s="86" t="s">
        <v>912</v>
      </c>
      <c r="E739" s="87"/>
      <c r="F739" s="48" t="s">
        <v>644</v>
      </c>
      <c r="G739" s="88" t="b">
        <f>IF(G610=TRUE,TRUE,FALSE)</f>
        <v>0</v>
      </c>
      <c r="H739" s="34" t="str">
        <f>IF(G739=TRUE,H610,"")</f>
        <v/>
      </c>
      <c r="I739" s="34"/>
      <c r="J739" s="14"/>
    </row>
    <row r="740" hidden="1">
      <c r="A740" s="90" t="str">
        <f>HYPERLINK("https://github.com/pytorch/pytorch/blob/f99ab991dcd3719ee25dd3377a53ea12e518308e/test/torch_np/numpy_tests/core/test_scalarinherit.py#L52", "TestInherit")</f>
        <v>TestInherit</v>
      </c>
      <c r="B740" s="91" t="s">
        <v>1045</v>
      </c>
      <c r="C740" s="91"/>
      <c r="D740" s="91" t="s">
        <v>912</v>
      </c>
      <c r="E740" s="92"/>
      <c r="F740" s="48" t="s">
        <v>644</v>
      </c>
      <c r="G740" s="93" t="b">
        <f>IF(G610=TRUE,TRUE,FALSE)</f>
        <v>0</v>
      </c>
      <c r="H740" s="34" t="str">
        <f>IF(G740=TRUE,H610,"")</f>
        <v/>
      </c>
      <c r="I740" s="34"/>
      <c r="J740" s="14"/>
    </row>
    <row r="741" hidden="1">
      <c r="A741" s="85" t="str">
        <f>HYPERLINK("https://github.com/pytorch/pytorch/blob/f99ab991dcd3719ee25dd3377a53ea12e518308e/test/torch_np/numpy_tests/core/test_scalarmath.py#L89", "TestTypes")</f>
        <v>TestTypes</v>
      </c>
      <c r="B741" s="86" t="s">
        <v>1046</v>
      </c>
      <c r="C741" s="86"/>
      <c r="D741" s="86" t="s">
        <v>912</v>
      </c>
      <c r="E741" s="87"/>
      <c r="F741" s="48" t="s">
        <v>644</v>
      </c>
      <c r="G741" s="88" t="b">
        <f>IF(G610=TRUE,TRUE,FALSE)</f>
        <v>0</v>
      </c>
      <c r="H741" s="34" t="str">
        <f>IF(G741=TRUE,H610,"")</f>
        <v/>
      </c>
      <c r="I741" s="34"/>
      <c r="J741" s="14"/>
    </row>
    <row r="742" hidden="1">
      <c r="A742" s="90" t="str">
        <f>HYPERLINK("https://github.com/pytorch/pytorch/blob/f99ab991dcd3719ee25dd3377a53ea12e518308e/test/torch_np/numpy_tests/core/test_scalarmath.py#L132", "TestBaseMath")</f>
        <v>TestBaseMath</v>
      </c>
      <c r="B742" s="91" t="s">
        <v>1046</v>
      </c>
      <c r="C742" s="91"/>
      <c r="D742" s="91" t="s">
        <v>912</v>
      </c>
      <c r="E742" s="92"/>
      <c r="F742" s="48" t="s">
        <v>644</v>
      </c>
      <c r="G742" s="93" t="b">
        <f>IF(G610=TRUE,TRUE,FALSE)</f>
        <v>0</v>
      </c>
      <c r="H742" s="34" t="str">
        <f>IF(G742=TRUE,H610,"")</f>
        <v/>
      </c>
      <c r="I742" s="34"/>
      <c r="J742" s="14"/>
    </row>
    <row r="743" hidden="1">
      <c r="A743" s="85" t="str">
        <f>HYPERLINK("https://github.com/pytorch/pytorch/blob/f99ab991dcd3719ee25dd3377a53ea12e518308e/test/torch_np/numpy_tests/core/test_scalarmath.py#L181", "TestPower")</f>
        <v>TestPower</v>
      </c>
      <c r="B743" s="86" t="s">
        <v>1046</v>
      </c>
      <c r="C743" s="86"/>
      <c r="D743" s="86" t="s">
        <v>912</v>
      </c>
      <c r="E743" s="87"/>
      <c r="F743" s="48" t="s">
        <v>644</v>
      </c>
      <c r="G743" s="88" t="b">
        <f>IF(G610=TRUE,TRUE,FALSE)</f>
        <v>0</v>
      </c>
      <c r="H743" s="34" t="str">
        <f>IF(G743=TRUE,H610,"")</f>
        <v/>
      </c>
      <c r="I743" s="34"/>
      <c r="J743" s="14"/>
    </row>
    <row r="744" hidden="1">
      <c r="A744" s="90" t="str">
        <f>HYPERLINK("https://github.com/pytorch/pytorch/blob/f99ab991dcd3719ee25dd3377a53ea12e518308e/test/torch_np/numpy_tests/core/test_scalarmath.py#L283", "TestModulus")</f>
        <v>TestModulus</v>
      </c>
      <c r="B744" s="91" t="s">
        <v>1046</v>
      </c>
      <c r="C744" s="91"/>
      <c r="D744" s="91" t="s">
        <v>912</v>
      </c>
      <c r="E744" s="92"/>
      <c r="F744" s="48" t="s">
        <v>644</v>
      </c>
      <c r="G744" s="93" t="b">
        <f>IF(G610=TRUE,TRUE,FALSE)</f>
        <v>0</v>
      </c>
      <c r="H744" s="34" t="str">
        <f>IF(G744=TRUE,H610,"")</f>
        <v/>
      </c>
      <c r="I744" s="34"/>
      <c r="J744" s="14"/>
    </row>
    <row r="745" hidden="1">
      <c r="A745" s="85" t="str">
        <f>HYPERLINK("https://github.com/pytorch/pytorch/blob/f99ab991dcd3719ee25dd3377a53ea12e518308e/test/torch_np/numpy_tests/core/test_scalarmath.py#L387", "TestComplexDivision")</f>
        <v>TestComplexDivision</v>
      </c>
      <c r="B745" s="86" t="s">
        <v>1046</v>
      </c>
      <c r="C745" s="86"/>
      <c r="D745" s="86" t="s">
        <v>912</v>
      </c>
      <c r="E745" s="87"/>
      <c r="F745" s="48" t="s">
        <v>644</v>
      </c>
      <c r="G745" s="88" t="b">
        <f>IF(G610=TRUE,TRUE,FALSE)</f>
        <v>0</v>
      </c>
      <c r="H745" s="34" t="str">
        <f>IF(G745=TRUE,H610,"")</f>
        <v/>
      </c>
      <c r="I745" s="34"/>
      <c r="J745" s="14"/>
    </row>
    <row r="746" hidden="1">
      <c r="A746" s="90" t="str">
        <f>HYPERLINK("https://github.com/pytorch/pytorch/blob/f99ab991dcd3719ee25dd3377a53ea12e518308e/test/torch_np/numpy_tests/core/test_scalarmath.py#L457", "TestConversion")</f>
        <v>TestConversion</v>
      </c>
      <c r="B746" s="91" t="s">
        <v>1046</v>
      </c>
      <c r="C746" s="91"/>
      <c r="D746" s="91" t="s">
        <v>912</v>
      </c>
      <c r="E746" s="92"/>
      <c r="F746" s="48" t="s">
        <v>644</v>
      </c>
      <c r="G746" s="93" t="b">
        <f>IF(G610=TRUE,TRUE,FALSE)</f>
        <v>0</v>
      </c>
      <c r="H746" s="34" t="str">
        <f>IF(G746=TRUE,H610,"")</f>
        <v/>
      </c>
      <c r="I746" s="34"/>
      <c r="J746" s="14"/>
    </row>
    <row r="747" hidden="1">
      <c r="A747" s="85" t="str">
        <f>HYPERLINK("https://github.com/pytorch/pytorch/blob/f99ab991dcd3719ee25dd3377a53ea12e518308e/test/torch_np/numpy_tests/core/test_scalarmath.py#L571", "TestRepr")</f>
        <v>TestRepr</v>
      </c>
      <c r="B747" s="86" t="s">
        <v>1046</v>
      </c>
      <c r="C747" s="86"/>
      <c r="D747" s="86" t="s">
        <v>912</v>
      </c>
      <c r="E747" s="87"/>
      <c r="F747" s="48" t="s">
        <v>644</v>
      </c>
      <c r="G747" s="88" t="b">
        <f>IF(G610=TRUE,TRUE,FALSE)</f>
        <v>0</v>
      </c>
      <c r="H747" s="34" t="str">
        <f>IF(G747=TRUE,H610,"")</f>
        <v/>
      </c>
      <c r="I747" s="34"/>
      <c r="J747" s="14"/>
    </row>
    <row r="748" hidden="1">
      <c r="A748" s="90" t="str">
        <f>HYPERLINK("https://github.com/pytorch/pytorch/blob/f99ab991dcd3719ee25dd3377a53ea12e518308e/test/torch_np/numpy_tests/core/test_scalarmath.py#L605", "TestMultiply")</f>
        <v>TestMultiply</v>
      </c>
      <c r="B748" s="91" t="s">
        <v>1046</v>
      </c>
      <c r="C748" s="91"/>
      <c r="D748" s="91" t="s">
        <v>912</v>
      </c>
      <c r="E748" s="92"/>
      <c r="F748" s="48" t="s">
        <v>644</v>
      </c>
      <c r="G748" s="93" t="b">
        <f>IF(G610=TRUE,TRUE,FALSE)</f>
        <v>0</v>
      </c>
      <c r="H748" s="34" t="str">
        <f>IF(G748=TRUE,H610,"")</f>
        <v/>
      </c>
      <c r="I748" s="34"/>
      <c r="J748" s="14"/>
    </row>
    <row r="749" hidden="1">
      <c r="A749" s="85" t="str">
        <f>HYPERLINK("https://github.com/pytorch/pytorch/blob/f99ab991dcd3719ee25dd3377a53ea12e518308e/test/torch_np/numpy_tests/core/test_scalarmath.py#L656", "TestNegative")</f>
        <v>TestNegative</v>
      </c>
      <c r="B749" s="86" t="s">
        <v>1046</v>
      </c>
      <c r="C749" s="86"/>
      <c r="D749" s="86" t="s">
        <v>912</v>
      </c>
      <c r="E749" s="87"/>
      <c r="F749" s="48" t="s">
        <v>644</v>
      </c>
      <c r="G749" s="88" t="b">
        <f>IF(G610=TRUE,TRUE,FALSE)</f>
        <v>0</v>
      </c>
      <c r="H749" s="34" t="str">
        <f>IF(G749=TRUE,H610,"")</f>
        <v/>
      </c>
      <c r="I749" s="34"/>
      <c r="J749" s="14"/>
    </row>
    <row r="750" hidden="1">
      <c r="A750" s="90" t="str">
        <f>HYPERLINK("https://github.com/pytorch/pytorch/blob/f99ab991dcd3719ee25dd3377a53ea12e518308e/test/torch_np/numpy_tests/core/test_scalarmath.py#L676", "TestSubtract")</f>
        <v>TestSubtract</v>
      </c>
      <c r="B750" s="91" t="s">
        <v>1046</v>
      </c>
      <c r="C750" s="91"/>
      <c r="D750" s="91" t="s">
        <v>912</v>
      </c>
      <c r="E750" s="92"/>
      <c r="F750" s="48" t="s">
        <v>644</v>
      </c>
      <c r="G750" s="93" t="b">
        <f>IF(G610=TRUE,TRUE,FALSE)</f>
        <v>0</v>
      </c>
      <c r="H750" s="34" t="str">
        <f>IF(G750=TRUE,H610,"")</f>
        <v/>
      </c>
      <c r="I750" s="34"/>
      <c r="J750" s="14"/>
    </row>
    <row r="751" hidden="1">
      <c r="A751" s="85" t="str">
        <f>HYPERLINK("https://github.com/pytorch/pytorch/blob/f99ab991dcd3719ee25dd3377a53ea12e518308e/test/torch_np/numpy_tests/core/test_scalarmath.py#L692", "TestAbs")</f>
        <v>TestAbs</v>
      </c>
      <c r="B751" s="86" t="s">
        <v>1046</v>
      </c>
      <c r="C751" s="86"/>
      <c r="D751" s="86" t="s">
        <v>912</v>
      </c>
      <c r="E751" s="87"/>
      <c r="F751" s="48" t="s">
        <v>644</v>
      </c>
      <c r="G751" s="88" t="b">
        <f>IF(G610=TRUE,TRUE,FALSE)</f>
        <v>0</v>
      </c>
      <c r="H751" s="34" t="str">
        <f>IF(G751=TRUE,H610,"")</f>
        <v/>
      </c>
      <c r="I751" s="34"/>
      <c r="J751" s="14"/>
    </row>
    <row r="752" hidden="1">
      <c r="A752" s="90" t="str">
        <f>HYPERLINK("https://github.com/pytorch/pytorch/blob/f99ab991dcd3719ee25dd3377a53ea12e518308e/test/torch_np/numpy_tests/core/test_scalarmath.py#L725", "TestBitShifts")</f>
        <v>TestBitShifts</v>
      </c>
      <c r="B752" s="91" t="s">
        <v>1046</v>
      </c>
      <c r="C752" s="91"/>
      <c r="D752" s="91" t="s">
        <v>912</v>
      </c>
      <c r="E752" s="92"/>
      <c r="F752" s="48" t="s">
        <v>644</v>
      </c>
      <c r="G752" s="93" t="b">
        <f>IF(G610=TRUE,TRUE,FALSE)</f>
        <v>0</v>
      </c>
      <c r="H752" s="34" t="str">
        <f>IF(G752=TRUE,H610,"")</f>
        <v/>
      </c>
      <c r="I752" s="34"/>
      <c r="J752" s="14"/>
    </row>
    <row r="753" hidden="1">
      <c r="A753" s="85" t="str">
        <f>HYPERLINK("https://github.com/pytorch/pytorch/blob/f99ab991dcd3719ee25dd3377a53ea12e518308e/test/torch_np/numpy_tests/core/test_scalarmath.py#L762", "TestHash")</f>
        <v>TestHash</v>
      </c>
      <c r="B753" s="86" t="s">
        <v>1046</v>
      </c>
      <c r="C753" s="86"/>
      <c r="D753" s="86" t="s">
        <v>912</v>
      </c>
      <c r="E753" s="87"/>
      <c r="F753" s="48" t="s">
        <v>644</v>
      </c>
      <c r="G753" s="88" t="b">
        <f>IF(G610=TRUE,TRUE,FALSE)</f>
        <v>0</v>
      </c>
      <c r="H753" s="34" t="str">
        <f>IF(G753=TRUE,H610,"")</f>
        <v/>
      </c>
      <c r="I753" s="34"/>
      <c r="J753" s="14"/>
    </row>
    <row r="754" hidden="1">
      <c r="A754" s="90" t="str">
        <f>HYPERLINK("https://github.com/pytorch/pytorch/blob/f99ab991dcd3719ee25dd3377a53ea12e518308e/test/torch_np/numpy_tests/core/test_scalarmath.py#L819", "TestScalarOpsMisc")</f>
        <v>TestScalarOpsMisc</v>
      </c>
      <c r="B754" s="91" t="s">
        <v>1046</v>
      </c>
      <c r="C754" s="91"/>
      <c r="D754" s="91" t="s">
        <v>912</v>
      </c>
      <c r="E754" s="92"/>
      <c r="F754" s="48" t="s">
        <v>644</v>
      </c>
      <c r="G754" s="93" t="b">
        <f>IF(G610=TRUE,TRUE,FALSE)</f>
        <v>0</v>
      </c>
      <c r="H754" s="34" t="str">
        <f>IF(G754=TRUE,H610,"")</f>
        <v/>
      </c>
      <c r="I754" s="34"/>
      <c r="J754" s="14"/>
    </row>
    <row r="755" hidden="1">
      <c r="A755" s="85" t="str">
        <f>HYPERLINK("https://github.com/pytorch/pytorch/blob/f99ab991dcd3719ee25dd3377a53ea12e518308e/test/torch_np/numpy_tests/core/test_scalarmath.py#L909", "TestScalarSubclassingMisc")</f>
        <v>TestScalarSubclassingMisc</v>
      </c>
      <c r="B755" s="86" t="s">
        <v>1046</v>
      </c>
      <c r="C755" s="86"/>
      <c r="D755" s="86" t="s">
        <v>912</v>
      </c>
      <c r="E755" s="87"/>
      <c r="F755" s="48" t="s">
        <v>644</v>
      </c>
      <c r="G755" s="88" t="b">
        <f>IF(G610=TRUE,TRUE,FALSE)</f>
        <v>0</v>
      </c>
      <c r="H755" s="34" t="str">
        <f>IF(G755=TRUE,H610,"")</f>
        <v/>
      </c>
      <c r="I755" s="34"/>
      <c r="J755" s="14"/>
    </row>
    <row r="756" hidden="1">
      <c r="A756" s="90" t="str">
        <f>HYPERLINK("https://github.com/pytorch/pytorch/blob/f99ab991dcd3719ee25dd3377a53ea12e518308e/test/torch_np/numpy_tests/core/test_shape_base.py#L65", "TestAtleast1d")</f>
        <v>TestAtleast1d</v>
      </c>
      <c r="B756" s="91" t="s">
        <v>1047</v>
      </c>
      <c r="C756" s="91"/>
      <c r="D756" s="91" t="s">
        <v>912</v>
      </c>
      <c r="E756" s="92"/>
      <c r="F756" s="48" t="s">
        <v>644</v>
      </c>
      <c r="G756" s="93" t="b">
        <f>IF(G610=TRUE,TRUE,FALSE)</f>
        <v>0</v>
      </c>
      <c r="H756" s="34" t="str">
        <f>IF(G756=TRUE,H610,"")</f>
        <v/>
      </c>
      <c r="I756" s="34"/>
      <c r="J756" s="14"/>
    </row>
    <row r="757" hidden="1">
      <c r="A757" s="85" t="str">
        <f>HYPERLINK("https://github.com/pytorch/pytorch/blob/f99ab991dcd3719ee25dd3377a53ea12e518308e/test/torch_np/numpy_tests/core/test_shape_base.py#L110", "TestAtleast2d")</f>
        <v>TestAtleast2d</v>
      </c>
      <c r="B757" s="86" t="s">
        <v>1047</v>
      </c>
      <c r="C757" s="86"/>
      <c r="D757" s="86" t="s">
        <v>912</v>
      </c>
      <c r="E757" s="87"/>
      <c r="F757" s="48" t="s">
        <v>644</v>
      </c>
      <c r="G757" s="88" t="b">
        <f>IF(G610=TRUE,TRUE,FALSE)</f>
        <v>0</v>
      </c>
      <c r="H757" s="34" t="str">
        <f>IF(G757=TRUE,H610,"")</f>
        <v/>
      </c>
      <c r="I757" s="34"/>
      <c r="J757" s="14"/>
    </row>
    <row r="758" hidden="1">
      <c r="A758" s="90" t="str">
        <f>HYPERLINK("https://github.com/pytorch/pytorch/blob/f99ab991dcd3719ee25dd3377a53ea12e518308e/test/torch_np/numpy_tests/core/test_shape_base.py#L155", "TestAtleast3d")</f>
        <v>TestAtleast3d</v>
      </c>
      <c r="B758" s="91" t="s">
        <v>1047</v>
      </c>
      <c r="C758" s="91"/>
      <c r="D758" s="91" t="s">
        <v>912</v>
      </c>
      <c r="E758" s="92"/>
      <c r="F758" s="48" t="s">
        <v>644</v>
      </c>
      <c r="G758" s="93" t="b">
        <f>IF(G610=TRUE,TRUE,FALSE)</f>
        <v>0</v>
      </c>
      <c r="H758" s="34" t="str">
        <f>IF(G758=TRUE,H610,"")</f>
        <v/>
      </c>
      <c r="I758" s="34"/>
      <c r="J758" s="14"/>
    </row>
    <row r="759" hidden="1">
      <c r="A759" s="85" t="str">
        <f>HYPERLINK("https://github.com/pytorch/pytorch/blob/f99ab991dcd3719ee25dd3377a53ea12e518308e/test/torch_np/numpy_tests/core/test_shape_base.py#L187", "TestHstack")</f>
        <v>TestHstack</v>
      </c>
      <c r="B759" s="86" t="s">
        <v>1047</v>
      </c>
      <c r="C759" s="86"/>
      <c r="D759" s="86" t="s">
        <v>912</v>
      </c>
      <c r="E759" s="87"/>
      <c r="F759" s="48" t="s">
        <v>644</v>
      </c>
      <c r="G759" s="88" t="b">
        <f>IF(G610=TRUE,TRUE,FALSE)</f>
        <v>0</v>
      </c>
      <c r="H759" s="34" t="str">
        <f>IF(G759=TRUE,H610,"")</f>
        <v/>
      </c>
      <c r="I759" s="34"/>
      <c r="J759" s="14"/>
    </row>
    <row r="760" hidden="1">
      <c r="A760" s="90" t="str">
        <f>HYPERLINK("https://github.com/pytorch/pytorch/blob/f99ab991dcd3719ee25dd3377a53ea12e518308e/test/torch_np/numpy_tests/core/test_shape_base.py#L237", "TestVstack")</f>
        <v>TestVstack</v>
      </c>
      <c r="B760" s="91" t="s">
        <v>1047</v>
      </c>
      <c r="C760" s="91"/>
      <c r="D760" s="91" t="s">
        <v>912</v>
      </c>
      <c r="E760" s="92"/>
      <c r="F760" s="48" t="s">
        <v>644</v>
      </c>
      <c r="G760" s="93" t="b">
        <f>IF(G610=TRUE,TRUE,FALSE)</f>
        <v>0</v>
      </c>
      <c r="H760" s="34" t="str">
        <f>IF(G760=TRUE,H610,"")</f>
        <v/>
      </c>
      <c r="I760" s="34"/>
      <c r="J760" s="14"/>
    </row>
    <row r="761" hidden="1">
      <c r="A761" s="85" t="str">
        <f>HYPERLINK("https://github.com/pytorch/pytorch/blob/f99ab991dcd3719ee25dd3377a53ea12e518308e/test/torch_np/numpy_tests/core/test_shape_base.py#L294", "TestConcatenate")</f>
        <v>TestConcatenate</v>
      </c>
      <c r="B761" s="86" t="s">
        <v>1047</v>
      </c>
      <c r="C761" s="86"/>
      <c r="D761" s="86" t="s">
        <v>912</v>
      </c>
      <c r="E761" s="87"/>
      <c r="F761" s="48" t="s">
        <v>644</v>
      </c>
      <c r="G761" s="88" t="b">
        <f>IF(G610=TRUE,TRUE,FALSE)</f>
        <v>0</v>
      </c>
      <c r="H761" s="34" t="str">
        <f>IF(G761=TRUE,H610,"")</f>
        <v/>
      </c>
      <c r="I761" s="34"/>
      <c r="J761" s="14"/>
    </row>
    <row r="762" hidden="1">
      <c r="A762" s="90" t="str">
        <f>HYPERLINK("https://github.com/pytorch/pytorch/blob/f99ab991dcd3719ee25dd3377a53ea12e518308e/test/torch_np/numpy_tests/core/test_shape_base.py#L499", "TestStackMisc")</f>
        <v>TestStackMisc</v>
      </c>
      <c r="B762" s="91" t="s">
        <v>1047</v>
      </c>
      <c r="C762" s="91"/>
      <c r="D762" s="91" t="s">
        <v>912</v>
      </c>
      <c r="E762" s="92"/>
      <c r="F762" s="48" t="s">
        <v>644</v>
      </c>
      <c r="G762" s="93" t="b">
        <f>IF(G610=TRUE,TRUE,FALSE)</f>
        <v>0</v>
      </c>
      <c r="H762" s="34" t="str">
        <f>IF(G762=TRUE,H610,"")</f>
        <v/>
      </c>
      <c r="I762" s="34"/>
      <c r="J762" s="14"/>
    </row>
    <row r="763" hidden="1">
      <c r="A763" s="85" t="str">
        <f>HYPERLINK("https://github.com/pytorch/pytorch/blob/f99ab991dcd3719ee25dd3377a53ea12e518308e/test/torch_np/numpy_tests/core/test_shape_base.py#L617", "TestBlock")</f>
        <v>TestBlock</v>
      </c>
      <c r="B763" s="86" t="s">
        <v>1047</v>
      </c>
      <c r="C763" s="86"/>
      <c r="D763" s="86" t="s">
        <v>912</v>
      </c>
      <c r="E763" s="87"/>
      <c r="F763" s="48" t="s">
        <v>644</v>
      </c>
      <c r="G763" s="88" t="b">
        <f>IF(G610=TRUE,TRUE,FALSE)</f>
        <v>0</v>
      </c>
      <c r="H763" s="34" t="str">
        <f>IF(G763=TRUE,H610,"")</f>
        <v/>
      </c>
      <c r="I763" s="34"/>
      <c r="J763" s="14"/>
    </row>
    <row r="764" hidden="1">
      <c r="A764" s="90" t="str">
        <f>HYPERLINK("https://github.com/pytorch/pytorch/blob/f99ab991dcd3719ee25dd3377a53ea12e518308e/test/torch_np/numpy_tests/fft/test_helper.py#L26", "TestFFTShift")</f>
        <v>TestFFTShift</v>
      </c>
      <c r="B764" s="91" t="s">
        <v>1048</v>
      </c>
      <c r="C764" s="91"/>
      <c r="D764" s="91" t="s">
        <v>912</v>
      </c>
      <c r="E764" s="92"/>
      <c r="F764" s="48" t="s">
        <v>644</v>
      </c>
      <c r="G764" s="93" t="b">
        <f>IF(G610=TRUE,TRUE,FALSE)</f>
        <v>0</v>
      </c>
      <c r="H764" s="34" t="str">
        <f>IF(G764=TRUE,H610,"")</f>
        <v/>
      </c>
      <c r="I764" s="34"/>
      <c r="J764" s="14"/>
    </row>
    <row r="765" hidden="1">
      <c r="A765" s="85" t="str">
        <f>HYPERLINK("https://github.com/pytorch/pytorch/blob/f99ab991dcd3719ee25dd3377a53ea12e518308e/test/torch_np/numpy_tests/fft/test_helper.py#L143", "TestFFTFreq")</f>
        <v>TestFFTFreq</v>
      </c>
      <c r="B765" s="86" t="s">
        <v>1048</v>
      </c>
      <c r="C765" s="86"/>
      <c r="D765" s="86" t="s">
        <v>912</v>
      </c>
      <c r="E765" s="87"/>
      <c r="F765" s="48" t="s">
        <v>644</v>
      </c>
      <c r="G765" s="88" t="b">
        <f>IF(G610=TRUE,TRUE,FALSE)</f>
        <v>0</v>
      </c>
      <c r="H765" s="34" t="str">
        <f>IF(G765=TRUE,H610,"")</f>
        <v/>
      </c>
      <c r="I765" s="34"/>
      <c r="J765" s="14"/>
    </row>
    <row r="766" hidden="1">
      <c r="A766" s="90" t="str">
        <f>HYPERLINK("https://github.com/pytorch/pytorch/blob/f99ab991dcd3719ee25dd3377a53ea12e518308e/test/torch_np/numpy_tests/fft/test_helper.py#L153", "TestRFFTFreq")</f>
        <v>TestRFFTFreq</v>
      </c>
      <c r="B766" s="91" t="s">
        <v>1048</v>
      </c>
      <c r="C766" s="91"/>
      <c r="D766" s="91" t="s">
        <v>912</v>
      </c>
      <c r="E766" s="92"/>
      <c r="F766" s="48" t="s">
        <v>644</v>
      </c>
      <c r="G766" s="93" t="b">
        <f>IF(G610=TRUE,TRUE,FALSE)</f>
        <v>0</v>
      </c>
      <c r="H766" s="34" t="str">
        <f>IF(G766=TRUE,H610,"")</f>
        <v/>
      </c>
      <c r="I766" s="34"/>
      <c r="J766" s="14"/>
    </row>
    <row r="767" hidden="1">
      <c r="A767" s="85" t="str">
        <f>HYPERLINK("https://github.com/pytorch/pytorch/blob/f99ab991dcd3719ee25dd3377a53ea12e518308e/test/torch_np/numpy_tests/fft/test_helper.py#L163", "TestIRFFTN")</f>
        <v>TestIRFFTN</v>
      </c>
      <c r="B767" s="86" t="s">
        <v>1048</v>
      </c>
      <c r="C767" s="86"/>
      <c r="D767" s="86" t="s">
        <v>912</v>
      </c>
      <c r="E767" s="87"/>
      <c r="F767" s="48" t="s">
        <v>644</v>
      </c>
      <c r="G767" s="88" t="b">
        <f>IF(G610=TRUE,TRUE,FALSE)</f>
        <v>0</v>
      </c>
      <c r="H767" s="34" t="str">
        <f>IF(G767=TRUE,H610,"")</f>
        <v/>
      </c>
      <c r="I767" s="34"/>
      <c r="J767" s="14"/>
    </row>
    <row r="768" hidden="1">
      <c r="A768" s="90" t="str">
        <f>HYPERLINK("https://github.com/pytorch/pytorch/blob/f99ab991dcd3719ee25dd3377a53ea12e518308e/test/torch_np/numpy_tests/fft/test_pocketfft.py#L43", "TestFFTShift")</f>
        <v>TestFFTShift</v>
      </c>
      <c r="B768" s="91" t="s">
        <v>1049</v>
      </c>
      <c r="C768" s="91"/>
      <c r="D768" s="91" t="s">
        <v>912</v>
      </c>
      <c r="E768" s="92"/>
      <c r="F768" s="48" t="s">
        <v>644</v>
      </c>
      <c r="G768" s="93" t="b">
        <f>IF(G610=TRUE,TRUE,FALSE)</f>
        <v>0</v>
      </c>
      <c r="H768" s="34" t="str">
        <f>IF(G768=TRUE,H610,"")</f>
        <v/>
      </c>
      <c r="I768" s="34"/>
      <c r="J768" s="14"/>
    </row>
    <row r="769" hidden="1">
      <c r="A769" s="85" t="str">
        <f>HYPERLINK("https://github.com/pytorch/pytorch/blob/f99ab991dcd3719ee25dd3377a53ea12e518308e/test/torch_np/numpy_tests/fft/test_pocketfft.py#L49", "TestFFT1D")</f>
        <v>TestFFT1D</v>
      </c>
      <c r="B769" s="86" t="s">
        <v>1049</v>
      </c>
      <c r="C769" s="86"/>
      <c r="D769" s="86" t="s">
        <v>912</v>
      </c>
      <c r="E769" s="87"/>
      <c r="F769" s="48" t="s">
        <v>644</v>
      </c>
      <c r="G769" s="88" t="b">
        <f>IF(G610=TRUE,TRUE,FALSE)</f>
        <v>0</v>
      </c>
      <c r="H769" s="34" t="str">
        <f>IF(G769=TRUE,H610,"")</f>
        <v/>
      </c>
      <c r="I769" s="34"/>
      <c r="J769" s="14"/>
    </row>
    <row r="770" hidden="1">
      <c r="A770" s="90" t="str">
        <f>HYPERLINK("https://github.com/pytorch/pytorch/blob/f99ab991dcd3719ee25dd3377a53ea12e518308e/test/torch_np/numpy_tests/fft/test_pocketfft.py#L350", "TestFFTThreadSafe")</f>
        <v>TestFFTThreadSafe</v>
      </c>
      <c r="B770" s="91" t="s">
        <v>1049</v>
      </c>
      <c r="C770" s="91"/>
      <c r="D770" s="91" t="s">
        <v>912</v>
      </c>
      <c r="E770" s="92"/>
      <c r="F770" s="48" t="s">
        <v>644</v>
      </c>
      <c r="G770" s="93" t="b">
        <f>IF(G610=TRUE,TRUE,FALSE)</f>
        <v>0</v>
      </c>
      <c r="H770" s="34" t="str">
        <f>IF(G770=TRUE,H610,"")</f>
        <v/>
      </c>
      <c r="I770" s="34"/>
      <c r="J770" s="14"/>
    </row>
    <row r="771" hidden="1">
      <c r="A771" s="85" t="str">
        <f>HYPERLINK("https://github.com/pytorch/pytorch/blob/f99ab991dcd3719ee25dd3377a53ea12e518308e/test/torch_np/numpy_tests/lib/test_arraypad.py#L23", "TestConstant")</f>
        <v>TestConstant</v>
      </c>
      <c r="B771" s="86" t="s">
        <v>1050</v>
      </c>
      <c r="C771" s="86"/>
      <c r="D771" s="86" t="s">
        <v>912</v>
      </c>
      <c r="E771" s="87"/>
      <c r="F771" s="48" t="s">
        <v>644</v>
      </c>
      <c r="G771" s="88" t="b">
        <f>IF(G610=TRUE,TRUE,FALSE)</f>
        <v>0</v>
      </c>
      <c r="H771" s="34" t="str">
        <f>IF(G771=TRUE,H610,"")</f>
        <v/>
      </c>
      <c r="I771" s="34"/>
      <c r="J771" s="14"/>
    </row>
    <row r="772" hidden="1">
      <c r="A772" s="90" t="str">
        <f>HYPERLINK("https://github.com/pytorch/pytorch/blob/f99ab991dcd3719ee25dd3377a53ea12e518308e/test/torch_np/numpy_tests/lib/test_arraysetops.py#L37", "TestSetOps")</f>
        <v>TestSetOps</v>
      </c>
      <c r="B772" s="91" t="s">
        <v>1051</v>
      </c>
      <c r="C772" s="91"/>
      <c r="D772" s="91" t="s">
        <v>912</v>
      </c>
      <c r="E772" s="92"/>
      <c r="F772" s="48" t="s">
        <v>644</v>
      </c>
      <c r="G772" s="93" t="b">
        <f>IF(G610=TRUE,TRUE,FALSE)</f>
        <v>0</v>
      </c>
      <c r="H772" s="34" t="str">
        <f>IF(G772=TRUE,H610,"")</f>
        <v/>
      </c>
      <c r="I772" s="34"/>
      <c r="J772" s="14"/>
    </row>
    <row r="773" hidden="1">
      <c r="A773" s="85" t="str">
        <f>HYPERLINK("https://github.com/pytorch/pytorch/blob/f99ab991dcd3719ee25dd3377a53ea12e518308e/test/torch_np/numpy_tests/lib/test_arraysetops.py#L669", "TestUnique")</f>
        <v>TestUnique</v>
      </c>
      <c r="B773" s="86" t="s">
        <v>1051</v>
      </c>
      <c r="C773" s="86"/>
      <c r="D773" s="86" t="s">
        <v>912</v>
      </c>
      <c r="E773" s="87"/>
      <c r="F773" s="48" t="s">
        <v>644</v>
      </c>
      <c r="G773" s="88" t="b">
        <f>IF(G610=TRUE,TRUE,FALSE)</f>
        <v>0</v>
      </c>
      <c r="H773" s="34" t="str">
        <f>IF(G773=TRUE,H610,"")</f>
        <v/>
      </c>
      <c r="I773" s="34"/>
      <c r="J773" s="14"/>
    </row>
    <row r="774" hidden="1">
      <c r="A774" s="90" t="str">
        <f>HYPERLINK("https://github.com/pytorch/pytorch/blob/f99ab991dcd3719ee25dd3377a53ea12e518308e/test/torch_np/numpy_tests/lib/test_function_base.py#L147", "TestRot90")</f>
        <v>TestRot90</v>
      </c>
      <c r="B774" s="91" t="s">
        <v>1052</v>
      </c>
      <c r="C774" s="91"/>
      <c r="D774" s="91" t="s">
        <v>912</v>
      </c>
      <c r="E774" s="92"/>
      <c r="F774" s="48" t="s">
        <v>644</v>
      </c>
      <c r="G774" s="93" t="b">
        <f>IF(G610=TRUE,TRUE,FALSE)</f>
        <v>0</v>
      </c>
      <c r="H774" s="34" t="str">
        <f>IF(G774=TRUE,H610,"")</f>
        <v/>
      </c>
      <c r="I774" s="34"/>
      <c r="J774" s="14"/>
    </row>
    <row r="775" hidden="1">
      <c r="A775" s="85" t="str">
        <f>HYPERLINK("https://github.com/pytorch/pytorch/blob/f99ab991dcd3719ee25dd3377a53ea12e518308e/test/torch_np/numpy_tests/lib/test_function_base.py#L200", "TestFlip")</f>
        <v>TestFlip</v>
      </c>
      <c r="B775" s="86" t="s">
        <v>1052</v>
      </c>
      <c r="C775" s="86"/>
      <c r="D775" s="86" t="s">
        <v>912</v>
      </c>
      <c r="E775" s="87"/>
      <c r="F775" s="48" t="s">
        <v>644</v>
      </c>
      <c r="G775" s="88" t="b">
        <f>IF(G610=TRUE,TRUE,FALSE)</f>
        <v>0</v>
      </c>
      <c r="H775" s="34" t="str">
        <f>IF(G775=TRUE,H610,"")</f>
        <v/>
      </c>
      <c r="I775" s="34"/>
      <c r="J775" s="14"/>
    </row>
    <row r="776" hidden="1">
      <c r="A776" s="90" t="str">
        <f>HYPERLINK("https://github.com/pytorch/pytorch/blob/f99ab991dcd3719ee25dd3377a53ea12e518308e/test/torch_np/numpy_tests/lib/test_function_base.py#L270", "TestAny")</f>
        <v>TestAny</v>
      </c>
      <c r="B776" s="91" t="s">
        <v>1052</v>
      </c>
      <c r="C776" s="91"/>
      <c r="D776" s="91" t="s">
        <v>912</v>
      </c>
      <c r="E776" s="92"/>
      <c r="F776" s="48" t="s">
        <v>644</v>
      </c>
      <c r="G776" s="93" t="b">
        <f>IF(G610=TRUE,TRUE,FALSE)</f>
        <v>0</v>
      </c>
      <c r="H776" s="34" t="str">
        <f>IF(G776=TRUE,H610,"")</f>
        <v/>
      </c>
      <c r="I776" s="34"/>
      <c r="J776" s="14"/>
    </row>
    <row r="777" hidden="1">
      <c r="A777" s="85" t="str">
        <f>HYPERLINK("https://github.com/pytorch/pytorch/blob/f99ab991dcd3719ee25dd3377a53ea12e518308e/test/torch_np/numpy_tests/lib/test_function_base.py#L286", "TestAll")</f>
        <v>TestAll</v>
      </c>
      <c r="B777" s="86" t="s">
        <v>1052</v>
      </c>
      <c r="C777" s="86"/>
      <c r="D777" s="86" t="s">
        <v>912</v>
      </c>
      <c r="E777" s="87"/>
      <c r="F777" s="48" t="s">
        <v>644</v>
      </c>
      <c r="G777" s="88" t="b">
        <f>IF(G610=TRUE,TRUE,FALSE)</f>
        <v>0</v>
      </c>
      <c r="H777" s="34" t="str">
        <f>IF(G777=TRUE,H610,"")</f>
        <v/>
      </c>
      <c r="I777" s="34"/>
      <c r="J777" s="14"/>
    </row>
    <row r="778" hidden="1">
      <c r="A778" s="90" t="str">
        <f>HYPERLINK("https://github.com/pytorch/pytorch/blob/f99ab991dcd3719ee25dd3377a53ea12e518308e/test/torch_np/numpy_tests/lib/test_function_base.py#L303", "TestCopy")</f>
        <v>TestCopy</v>
      </c>
      <c r="B778" s="91" t="s">
        <v>1052</v>
      </c>
      <c r="C778" s="91"/>
      <c r="D778" s="91" t="s">
        <v>912</v>
      </c>
      <c r="E778" s="92"/>
      <c r="F778" s="48" t="s">
        <v>644</v>
      </c>
      <c r="G778" s="93" t="b">
        <f>IF(G610=TRUE,TRUE,FALSE)</f>
        <v>0</v>
      </c>
      <c r="H778" s="34" t="str">
        <f>IF(G778=TRUE,H610,"")</f>
        <v/>
      </c>
      <c r="I778" s="34"/>
      <c r="J778" s="14"/>
    </row>
    <row r="779" hidden="1">
      <c r="A779" s="85" t="str">
        <f>HYPERLINK("https://github.com/pytorch/pytorch/blob/f99ab991dcd3719ee25dd3377a53ea12e518308e/test/torch_np/numpy_tests/lib/test_function_base.py#L332", "TestAverage")</f>
        <v>TestAverage</v>
      </c>
      <c r="B779" s="86" t="s">
        <v>1052</v>
      </c>
      <c r="C779" s="86"/>
      <c r="D779" s="86" t="s">
        <v>912</v>
      </c>
      <c r="E779" s="87"/>
      <c r="F779" s="48" t="s">
        <v>644</v>
      </c>
      <c r="G779" s="88" t="b">
        <f>IF(G610=TRUE,TRUE,FALSE)</f>
        <v>0</v>
      </c>
      <c r="H779" s="34" t="str">
        <f>IF(G779=TRUE,H610,"")</f>
        <v/>
      </c>
      <c r="I779" s="34"/>
      <c r="J779" s="14"/>
    </row>
    <row r="780" hidden="1">
      <c r="A780" s="90" t="str">
        <f>HYPERLINK("https://github.com/pytorch/pytorch/blob/f99ab991dcd3719ee25dd3377a53ea12e518308e/test/torch_np/numpy_tests/lib/test_function_base.py#L489", "TestSelect")</f>
        <v>TestSelect</v>
      </c>
      <c r="B780" s="91" t="s">
        <v>1052</v>
      </c>
      <c r="C780" s="91"/>
      <c r="D780" s="91" t="s">
        <v>912</v>
      </c>
      <c r="E780" s="92"/>
      <c r="F780" s="48" t="s">
        <v>644</v>
      </c>
      <c r="G780" s="93" t="b">
        <f>IF(G610=TRUE,TRUE,FALSE)</f>
        <v>0</v>
      </c>
      <c r="H780" s="34" t="str">
        <f>IF(G780=TRUE,H610,"")</f>
        <v/>
      </c>
      <c r="I780" s="34"/>
      <c r="J780" s="14"/>
    </row>
    <row r="781" hidden="1">
      <c r="A781" s="85" t="str">
        <f>HYPERLINK("https://github.com/pytorch/pytorch/blob/f99ab991dcd3719ee25dd3377a53ea12e518308e/test/torch_np/numpy_tests/lib/test_function_base.py#L554", "TestInsert")</f>
        <v>TestInsert</v>
      </c>
      <c r="B781" s="86" t="s">
        <v>1052</v>
      </c>
      <c r="C781" s="86"/>
      <c r="D781" s="86" t="s">
        <v>912</v>
      </c>
      <c r="E781" s="87"/>
      <c r="F781" s="48" t="s">
        <v>644</v>
      </c>
      <c r="G781" s="88" t="b">
        <f>IF(G610=TRUE,TRUE,FALSE)</f>
        <v>0</v>
      </c>
      <c r="H781" s="34" t="str">
        <f>IF(G781=TRUE,H610,"")</f>
        <v/>
      </c>
      <c r="I781" s="34"/>
      <c r="J781" s="14"/>
    </row>
    <row r="782" hidden="1">
      <c r="A782" s="90" t="str">
        <f>HYPERLINK("https://github.com/pytorch/pytorch/blob/f99ab991dcd3719ee25dd3377a53ea12e518308e/test/torch_np/numpy_tests/lib/test_function_base.py#L644", "TestAmax")</f>
        <v>TestAmax</v>
      </c>
      <c r="B782" s="91" t="s">
        <v>1052</v>
      </c>
      <c r="C782" s="91"/>
      <c r="D782" s="91" t="s">
        <v>912</v>
      </c>
      <c r="E782" s="92"/>
      <c r="F782" s="48" t="s">
        <v>644</v>
      </c>
      <c r="G782" s="93" t="b">
        <f>IF(G610=TRUE,TRUE,FALSE)</f>
        <v>0</v>
      </c>
      <c r="H782" s="34" t="str">
        <f>IF(G782=TRUE,H610,"")</f>
        <v/>
      </c>
      <c r="I782" s="34"/>
      <c r="J782" s="14"/>
    </row>
    <row r="783" hidden="1">
      <c r="A783" s="85" t="str">
        <f>HYPERLINK("https://github.com/pytorch/pytorch/blob/f99ab991dcd3719ee25dd3377a53ea12e518308e/test/torch_np/numpy_tests/lib/test_function_base.py#L653", "TestAmin")</f>
        <v>TestAmin</v>
      </c>
      <c r="B783" s="86" t="s">
        <v>1052</v>
      </c>
      <c r="C783" s="86"/>
      <c r="D783" s="86" t="s">
        <v>912</v>
      </c>
      <c r="E783" s="87"/>
      <c r="F783" s="48" t="s">
        <v>644</v>
      </c>
      <c r="G783" s="88" t="b">
        <f>IF(G610=TRUE,TRUE,FALSE)</f>
        <v>0</v>
      </c>
      <c r="H783" s="34" t="str">
        <f>IF(G783=TRUE,H610,"")</f>
        <v/>
      </c>
      <c r="I783" s="34"/>
      <c r="J783" s="14"/>
    </row>
    <row r="784" hidden="1">
      <c r="A784" s="90" t="str">
        <f>HYPERLINK("https://github.com/pytorch/pytorch/blob/f99ab991dcd3719ee25dd3377a53ea12e518308e/test/torch_np/numpy_tests/lib/test_function_base.py#L662", "TestPtp")</f>
        <v>TestPtp</v>
      </c>
      <c r="B784" s="91" t="s">
        <v>1052</v>
      </c>
      <c r="C784" s="91"/>
      <c r="D784" s="91" t="s">
        <v>912</v>
      </c>
      <c r="E784" s="92"/>
      <c r="F784" s="48" t="s">
        <v>644</v>
      </c>
      <c r="G784" s="93" t="b">
        <f>IF(G610=TRUE,TRUE,FALSE)</f>
        <v>0</v>
      </c>
      <c r="H784" s="34" t="str">
        <f>IF(G784=TRUE,H610,"")</f>
        <v/>
      </c>
      <c r="I784" s="34"/>
      <c r="J784" s="14"/>
    </row>
    <row r="785" hidden="1">
      <c r="A785" s="85" t="str">
        <f>HYPERLINK("https://github.com/pytorch/pytorch/blob/f99ab991dcd3719ee25dd3377a53ea12e518308e/test/torch_np/numpy_tests/lib/test_function_base.py#L674", "TestCumsum")</f>
        <v>TestCumsum</v>
      </c>
      <c r="B785" s="86" t="s">
        <v>1052</v>
      </c>
      <c r="C785" s="86"/>
      <c r="D785" s="86" t="s">
        <v>912</v>
      </c>
      <c r="E785" s="87"/>
      <c r="F785" s="48" t="s">
        <v>644</v>
      </c>
      <c r="G785" s="88" t="b">
        <f>IF(G610=TRUE,TRUE,FALSE)</f>
        <v>0</v>
      </c>
      <c r="H785" s="34" t="str">
        <f>IF(G785=TRUE,H610,"")</f>
        <v/>
      </c>
      <c r="I785" s="34"/>
      <c r="J785" s="14"/>
    </row>
    <row r="786" hidden="1">
      <c r="A786" s="90" t="str">
        <f>HYPERLINK("https://github.com/pytorch/pytorch/blob/f99ab991dcd3719ee25dd3377a53ea12e518308e/test/torch_np/numpy_tests/lib/test_function_base.py#L701", "TestProd")</f>
        <v>TestProd</v>
      </c>
      <c r="B786" s="91" t="s">
        <v>1052</v>
      </c>
      <c r="C786" s="91"/>
      <c r="D786" s="91" t="s">
        <v>912</v>
      </c>
      <c r="E786" s="92"/>
      <c r="F786" s="48" t="s">
        <v>644</v>
      </c>
      <c r="G786" s="93" t="b">
        <f>IF(G610=TRUE,TRUE,FALSE)</f>
        <v>0</v>
      </c>
      <c r="H786" s="34" t="str">
        <f>IF(G786=TRUE,H610,"")</f>
        <v/>
      </c>
      <c r="I786" s="34"/>
      <c r="J786" s="14"/>
    </row>
    <row r="787" hidden="1">
      <c r="A787" s="85" t="str">
        <f>HYPERLINK("https://github.com/pytorch/pytorch/blob/f99ab991dcd3719ee25dd3377a53ea12e518308e/test/torch_np/numpy_tests/lib/test_function_base.py#L724", "TestCumprod")</f>
        <v>TestCumprod</v>
      </c>
      <c r="B787" s="86" t="s">
        <v>1052</v>
      </c>
      <c r="C787" s="86"/>
      <c r="D787" s="86" t="s">
        <v>912</v>
      </c>
      <c r="E787" s="87"/>
      <c r="F787" s="48" t="s">
        <v>644</v>
      </c>
      <c r="G787" s="88" t="b">
        <f>IF(G610=TRUE,TRUE,FALSE)</f>
        <v>0</v>
      </c>
      <c r="H787" s="34" t="str">
        <f>IF(G787=TRUE,H610,"")</f>
        <v/>
      </c>
      <c r="I787" s="34"/>
      <c r="J787" s="14"/>
    </row>
    <row r="788" hidden="1">
      <c r="A788" s="90" t="str">
        <f>HYPERLINK("https://github.com/pytorch/pytorch/blob/f99ab991dcd3719ee25dd3377a53ea12e518308e/test/torch_np/numpy_tests/lib/test_function_base.py#L759", "TestDiff")</f>
        <v>TestDiff</v>
      </c>
      <c r="B788" s="91" t="s">
        <v>1052</v>
      </c>
      <c r="C788" s="91"/>
      <c r="D788" s="91" t="s">
        <v>912</v>
      </c>
      <c r="E788" s="92"/>
      <c r="F788" s="48" t="s">
        <v>644</v>
      </c>
      <c r="G788" s="93" t="b">
        <f>IF(G610=TRUE,TRUE,FALSE)</f>
        <v>0</v>
      </c>
      <c r="H788" s="34" t="str">
        <f>IF(G788=TRUE,H610,"")</f>
        <v/>
      </c>
      <c r="I788" s="34"/>
      <c r="J788" s="14"/>
    </row>
    <row r="789" hidden="1">
      <c r="A789" s="85" t="str">
        <f>HYPERLINK("https://github.com/pytorch/pytorch/blob/f99ab991dcd3719ee25dd3377a53ea12e518308e/test/torch_np/numpy_tests/lib/test_function_base.py#L873", "TestDelete")</f>
        <v>TestDelete</v>
      </c>
      <c r="B789" s="86" t="s">
        <v>1052</v>
      </c>
      <c r="C789" s="86"/>
      <c r="D789" s="86" t="s">
        <v>912</v>
      </c>
      <c r="E789" s="87"/>
      <c r="F789" s="48" t="s">
        <v>644</v>
      </c>
      <c r="G789" s="88" t="b">
        <f>IF(G610=TRUE,TRUE,FALSE)</f>
        <v>0</v>
      </c>
      <c r="H789" s="34" t="str">
        <f>IF(G789=TRUE,H610,"")</f>
        <v/>
      </c>
      <c r="I789" s="34"/>
      <c r="J789" s="14"/>
    </row>
    <row r="790" hidden="1">
      <c r="A790" s="90" t="str">
        <f>HYPERLINK("https://github.com/pytorch/pytorch/blob/f99ab991dcd3719ee25dd3377a53ea12e518308e/test/torch_np/numpy_tests/lib/test_function_base.py#L973", "TestGradient")</f>
        <v>TestGradient</v>
      </c>
      <c r="B790" s="91" t="s">
        <v>1052</v>
      </c>
      <c r="C790" s="91"/>
      <c r="D790" s="91" t="s">
        <v>912</v>
      </c>
      <c r="E790" s="92"/>
      <c r="F790" s="48" t="s">
        <v>644</v>
      </c>
      <c r="G790" s="93" t="b">
        <f>IF(G610=TRUE,TRUE,FALSE)</f>
        <v>0</v>
      </c>
      <c r="H790" s="34" t="str">
        <f>IF(G790=TRUE,H610,"")</f>
        <v/>
      </c>
      <c r="I790" s="34"/>
      <c r="J790" s="14"/>
    </row>
    <row r="791" hidden="1">
      <c r="A791" s="85" t="str">
        <f>HYPERLINK("https://github.com/pytorch/pytorch/blob/f99ab991dcd3719ee25dd3377a53ea12e518308e/test/torch_np/numpy_tests/lib/test_function_base.py#L1192", "TestAngle")</f>
        <v>TestAngle</v>
      </c>
      <c r="B791" s="86" t="s">
        <v>1052</v>
      </c>
      <c r="C791" s="86"/>
      <c r="D791" s="86" t="s">
        <v>912</v>
      </c>
      <c r="E791" s="87"/>
      <c r="F791" s="48" t="s">
        <v>644</v>
      </c>
      <c r="G791" s="88" t="b">
        <f>IF(G610=TRUE,TRUE,FALSE)</f>
        <v>0</v>
      </c>
      <c r="H791" s="34" t="str">
        <f>IF(G791=TRUE,H610,"")</f>
        <v/>
      </c>
      <c r="I791" s="34"/>
      <c r="J791" s="14"/>
    </row>
    <row r="792" hidden="1">
      <c r="A792" s="90" t="str">
        <f>HYPERLINK("https://github.com/pytorch/pytorch/blob/f99ab991dcd3719ee25dd3377a53ea12e518308e/test/torch_np/numpy_tests/lib/test_function_base.py#L1223", "TestTrimZeros")</f>
        <v>TestTrimZeros</v>
      </c>
      <c r="B792" s="91" t="s">
        <v>1052</v>
      </c>
      <c r="C792" s="91"/>
      <c r="D792" s="91" t="s">
        <v>912</v>
      </c>
      <c r="E792" s="92"/>
      <c r="F792" s="48" t="s">
        <v>644</v>
      </c>
      <c r="G792" s="93" t="b">
        <f>IF(G610=TRUE,TRUE,FALSE)</f>
        <v>0</v>
      </c>
      <c r="H792" s="34" t="str">
        <f>IF(G792=TRUE,H610,"")</f>
        <v/>
      </c>
      <c r="I792" s="34"/>
      <c r="J792" s="14"/>
    </row>
    <row r="793" hidden="1">
      <c r="A793" s="85" t="str">
        <f>HYPERLINK("https://github.com/pytorch/pytorch/blob/f99ab991dcd3719ee25dd3377a53ea12e518308e/test/torch_np/numpy_tests/lib/test_function_base.py#L1297", "TestExtins")</f>
        <v>TestExtins</v>
      </c>
      <c r="B793" s="86" t="s">
        <v>1052</v>
      </c>
      <c r="C793" s="86"/>
      <c r="D793" s="86" t="s">
        <v>912</v>
      </c>
      <c r="E793" s="87"/>
      <c r="F793" s="48" t="s">
        <v>644</v>
      </c>
      <c r="G793" s="88" t="b">
        <f>IF(G610=TRUE,TRUE,FALSE)</f>
        <v>0</v>
      </c>
      <c r="H793" s="34" t="str">
        <f>IF(G793=TRUE,H610,"")</f>
        <v/>
      </c>
      <c r="I793" s="34"/>
      <c r="J793" s="14"/>
    </row>
    <row r="794" hidden="1">
      <c r="A794" s="90" t="str">
        <f>HYPERLINK("https://github.com/pytorch/pytorch/blob/f99ab991dcd3719ee25dd3377a53ea12e518308e/test/torch_np/numpy_tests/lib/test_function_base.py#L1350", "TestVectorize")</f>
        <v>TestVectorize</v>
      </c>
      <c r="B794" s="91" t="s">
        <v>1052</v>
      </c>
      <c r="C794" s="91"/>
      <c r="D794" s="91" t="s">
        <v>912</v>
      </c>
      <c r="E794" s="92"/>
      <c r="F794" s="48" t="s">
        <v>644</v>
      </c>
      <c r="G794" s="93" t="b">
        <f>IF(G610=TRUE,TRUE,FALSE)</f>
        <v>0</v>
      </c>
      <c r="H794" s="34" t="str">
        <f>IF(G794=TRUE,H610,"")</f>
        <v/>
      </c>
      <c r="I794" s="34"/>
      <c r="J794" s="14"/>
    </row>
    <row r="795" hidden="1">
      <c r="A795" s="85" t="str">
        <f>HYPERLINK("https://github.com/pytorch/pytorch/blob/f99ab991dcd3719ee25dd3377a53ea12e518308e/test/torch_np/numpy_tests/lib/test_function_base.py#L1699", "TestDigitize")</f>
        <v>TestDigitize</v>
      </c>
      <c r="B795" s="86" t="s">
        <v>1052</v>
      </c>
      <c r="C795" s="86"/>
      <c r="D795" s="86" t="s">
        <v>912</v>
      </c>
      <c r="E795" s="87"/>
      <c r="F795" s="48" t="s">
        <v>644</v>
      </c>
      <c r="G795" s="88" t="b">
        <f>IF(G610=TRUE,TRUE,FALSE)</f>
        <v>0</v>
      </c>
      <c r="H795" s="34" t="str">
        <f>IF(G795=TRUE,H610,"")</f>
        <v/>
      </c>
      <c r="I795" s="34"/>
      <c r="J795" s="14"/>
    </row>
    <row r="796" hidden="1">
      <c r="A796" s="90" t="str">
        <f>HYPERLINK("https://github.com/pytorch/pytorch/blob/f99ab991dcd3719ee25dd3377a53ea12e518308e/test/torch_np/numpy_tests/lib/test_function_base.py#L1774", "TestUnwrap")</f>
        <v>TestUnwrap</v>
      </c>
      <c r="B796" s="91" t="s">
        <v>1052</v>
      </c>
      <c r="C796" s="91"/>
      <c r="D796" s="91" t="s">
        <v>912</v>
      </c>
      <c r="E796" s="92"/>
      <c r="F796" s="48" t="s">
        <v>644</v>
      </c>
      <c r="G796" s="93" t="b">
        <f>IF(G610=TRUE,TRUE,FALSE)</f>
        <v>0</v>
      </c>
      <c r="H796" s="34" t="str">
        <f>IF(G796=TRUE,H610,"")</f>
        <v/>
      </c>
      <c r="I796" s="34"/>
      <c r="J796" s="14"/>
    </row>
    <row r="797" hidden="1">
      <c r="A797" s="85" t="str">
        <f>HYPERLINK("https://github.com/pytorch/pytorch/blob/f99ab991dcd3719ee25dd3377a53ea12e518308e/test/torch_np/numpy_tests/lib/test_function_base.py#L1804", "TestFilterwindows")</f>
        <v>TestFilterwindows</v>
      </c>
      <c r="B797" s="86" t="s">
        <v>1052</v>
      </c>
      <c r="C797" s="86"/>
      <c r="D797" s="86" t="s">
        <v>912</v>
      </c>
      <c r="E797" s="87"/>
      <c r="F797" s="48" t="s">
        <v>644</v>
      </c>
      <c r="G797" s="88" t="b">
        <f>IF(G610=TRUE,TRUE,FALSE)</f>
        <v>0</v>
      </c>
      <c r="H797" s="34" t="str">
        <f>IF(G797=TRUE,H610,"")</f>
        <v/>
      </c>
      <c r="I797" s="34"/>
      <c r="J797" s="14"/>
    </row>
    <row r="798" hidden="1">
      <c r="A798" s="90" t="str">
        <f>HYPERLINK("https://github.com/pytorch/pytorch/blob/f99ab991dcd3719ee25dd3377a53ea12e518308e/test/torch_np/numpy_tests/lib/test_function_base.py#L1922", "TestTrapz")</f>
        <v>TestTrapz</v>
      </c>
      <c r="B798" s="91" t="s">
        <v>1052</v>
      </c>
      <c r="C798" s="91"/>
      <c r="D798" s="91" t="s">
        <v>912</v>
      </c>
      <c r="E798" s="92"/>
      <c r="F798" s="48" t="s">
        <v>644</v>
      </c>
      <c r="G798" s="93" t="b">
        <f>IF(G610=TRUE,TRUE,FALSE)</f>
        <v>0</v>
      </c>
      <c r="H798" s="34" t="str">
        <f>IF(G798=TRUE,H610,"")</f>
        <v/>
      </c>
      <c r="I798" s="34"/>
      <c r="J798" s="14"/>
    </row>
    <row r="799" hidden="1">
      <c r="A799" s="85" t="str">
        <f>HYPERLINK("https://github.com/pytorch/pytorch/blob/f99ab991dcd3719ee25dd3377a53ea12e518308e/test/torch_np/numpy_tests/lib/test_function_base.py#L1967", "TestSinc")</f>
        <v>TestSinc</v>
      </c>
      <c r="B799" s="86" t="s">
        <v>1052</v>
      </c>
      <c r="C799" s="86"/>
      <c r="D799" s="86" t="s">
        <v>912</v>
      </c>
      <c r="E799" s="87"/>
      <c r="F799" s="48" t="s">
        <v>644</v>
      </c>
      <c r="G799" s="88" t="b">
        <f>IF(G610=TRUE,TRUE,FALSE)</f>
        <v>0</v>
      </c>
      <c r="H799" s="34" t="str">
        <f>IF(G799=TRUE,H610,"")</f>
        <v/>
      </c>
      <c r="I799" s="34"/>
      <c r="J799" s="14"/>
    </row>
    <row r="800" hidden="1">
      <c r="A800" s="90" t="str">
        <f>HYPERLINK("https://github.com/pytorch/pytorch/blob/f99ab991dcd3719ee25dd3377a53ea12e518308e/test/torch_np/numpy_tests/lib/test_function_base.py#L1983", "TestUnique")</f>
        <v>TestUnique</v>
      </c>
      <c r="B800" s="91" t="s">
        <v>1052</v>
      </c>
      <c r="C800" s="91"/>
      <c r="D800" s="91" t="s">
        <v>912</v>
      </c>
      <c r="E800" s="92"/>
      <c r="F800" s="48" t="s">
        <v>644</v>
      </c>
      <c r="G800" s="93" t="b">
        <f>IF(G610=TRUE,TRUE,FALSE)</f>
        <v>0</v>
      </c>
      <c r="H800" s="34" t="str">
        <f>IF(G800=TRUE,H610,"")</f>
        <v/>
      </c>
      <c r="I800" s="34"/>
      <c r="J800" s="14"/>
    </row>
    <row r="801" hidden="1">
      <c r="A801" s="85" t="str">
        <f>HYPERLINK("https://github.com/pytorch/pytorch/blob/f99ab991dcd3719ee25dd3377a53ea12e518308e/test/torch_np/numpy_tests/lib/test_function_base.py#L1997", "TestCheckFinite")</f>
        <v>TestCheckFinite</v>
      </c>
      <c r="B801" s="86" t="s">
        <v>1052</v>
      </c>
      <c r="C801" s="86"/>
      <c r="D801" s="86" t="s">
        <v>912</v>
      </c>
      <c r="E801" s="87"/>
      <c r="F801" s="48" t="s">
        <v>644</v>
      </c>
      <c r="G801" s="88" t="b">
        <f>IF(G610=TRUE,TRUE,FALSE)</f>
        <v>0</v>
      </c>
      <c r="H801" s="34" t="str">
        <f>IF(G801=TRUE,H610,"")</f>
        <v/>
      </c>
      <c r="I801" s="34"/>
      <c r="J801" s="14"/>
    </row>
    <row r="802" hidden="1">
      <c r="A802" s="90" t="str">
        <f>HYPERLINK("https://github.com/pytorch/pytorch/blob/f99ab991dcd3719ee25dd3377a53ea12e518308e/test/torch_np/numpy_tests/lib/test_function_base.py#L2014", "TestCorrCoef")</f>
        <v>TestCorrCoef</v>
      </c>
      <c r="B802" s="91" t="s">
        <v>1052</v>
      </c>
      <c r="C802" s="91"/>
      <c r="D802" s="91" t="s">
        <v>912</v>
      </c>
      <c r="E802" s="92"/>
      <c r="F802" s="48" t="s">
        <v>644</v>
      </c>
      <c r="G802" s="93" t="b">
        <f>IF(G610=TRUE,TRUE,FALSE)</f>
        <v>0</v>
      </c>
      <c r="H802" s="34" t="str">
        <f>IF(G802=TRUE,H610,"")</f>
        <v/>
      </c>
      <c r="I802" s="34"/>
      <c r="J802" s="14"/>
    </row>
    <row r="803" hidden="1">
      <c r="A803" s="85" t="str">
        <f>HYPERLINK("https://github.com/pytorch/pytorch/blob/f99ab991dcd3719ee25dd3377a53ea12e518308e/test/torch_np/numpy_tests/lib/test_function_base.py#L2124", "TestCov")</f>
        <v>TestCov</v>
      </c>
      <c r="B803" s="86" t="s">
        <v>1052</v>
      </c>
      <c r="C803" s="86"/>
      <c r="D803" s="86" t="s">
        <v>912</v>
      </c>
      <c r="E803" s="87"/>
      <c r="F803" s="48" t="s">
        <v>644</v>
      </c>
      <c r="G803" s="88" t="b">
        <f>IF(G610=TRUE,TRUE,FALSE)</f>
        <v>0</v>
      </c>
      <c r="H803" s="34" t="str">
        <f>IF(G803=TRUE,H610,"")</f>
        <v/>
      </c>
      <c r="I803" s="34"/>
      <c r="J803" s="14"/>
    </row>
    <row r="804" hidden="1">
      <c r="A804" s="90" t="str">
        <f>HYPERLINK("https://github.com/pytorch/pytorch/blob/f99ab991dcd3719ee25dd3377a53ea12e518308e/test/torch_np/numpy_tests/lib/test_function_base.py#L2239", "Test_I0")</f>
        <v>Test_I0</v>
      </c>
      <c r="B804" s="91" t="s">
        <v>1052</v>
      </c>
      <c r="C804" s="91"/>
      <c r="D804" s="91" t="s">
        <v>912</v>
      </c>
      <c r="E804" s="92"/>
      <c r="F804" s="48" t="s">
        <v>644</v>
      </c>
      <c r="G804" s="93" t="b">
        <f>IF(G610=TRUE,TRUE,FALSE)</f>
        <v>0</v>
      </c>
      <c r="H804" s="34" t="str">
        <f>IF(G804=TRUE,H610,"")</f>
        <v/>
      </c>
      <c r="I804" s="34"/>
      <c r="J804" s="14"/>
    </row>
    <row r="805" hidden="1">
      <c r="A805" s="85" t="str">
        <f>HYPERLINK("https://github.com/pytorch/pytorch/blob/f99ab991dcd3719ee25dd3377a53ea12e518308e/test/torch_np/numpy_tests/lib/test_function_base.py#L2286", "TestKaiser")</f>
        <v>TestKaiser</v>
      </c>
      <c r="B805" s="86" t="s">
        <v>1052</v>
      </c>
      <c r="C805" s="86"/>
      <c r="D805" s="86" t="s">
        <v>912</v>
      </c>
      <c r="E805" s="87"/>
      <c r="F805" s="48" t="s">
        <v>644</v>
      </c>
      <c r="G805" s="88" t="b">
        <f>IF(G610=TRUE,TRUE,FALSE)</f>
        <v>0</v>
      </c>
      <c r="H805" s="34" t="str">
        <f>IF(G805=TRUE,H610,"")</f>
        <v/>
      </c>
      <c r="I805" s="34"/>
      <c r="J805" s="14"/>
    </row>
    <row r="806" hidden="1">
      <c r="A806" s="90" t="str">
        <f>HYPERLINK("https://github.com/pytorch/pytorch/blob/f99ab991dcd3719ee25dd3377a53ea12e518308e/test/torch_np/numpy_tests/lib/test_function_base.py#L2305", "TestMsort")</f>
        <v>TestMsort</v>
      </c>
      <c r="B806" s="91" t="s">
        <v>1052</v>
      </c>
      <c r="C806" s="91"/>
      <c r="D806" s="91" t="s">
        <v>912</v>
      </c>
      <c r="E806" s="92"/>
      <c r="F806" s="48" t="s">
        <v>644</v>
      </c>
      <c r="G806" s="93" t="b">
        <f>IF(G610=TRUE,TRUE,FALSE)</f>
        <v>0</v>
      </c>
      <c r="H806" s="34" t="str">
        <f>IF(G806=TRUE,H610,"")</f>
        <v/>
      </c>
      <c r="I806" s="34"/>
      <c r="J806" s="14"/>
    </row>
    <row r="807" hidden="1">
      <c r="A807" s="85" t="str">
        <f>HYPERLINK("https://github.com/pytorch/pytorch/blob/f99ab991dcd3719ee25dd3377a53ea12e518308e/test/torch_np/numpy_tests/lib/test_function_base.py#L2327", "TestMeshgrid")</f>
        <v>TestMeshgrid</v>
      </c>
      <c r="B807" s="86" t="s">
        <v>1052</v>
      </c>
      <c r="C807" s="86"/>
      <c r="D807" s="86" t="s">
        <v>912</v>
      </c>
      <c r="E807" s="87"/>
      <c r="F807" s="48" t="s">
        <v>644</v>
      </c>
      <c r="G807" s="88" t="b">
        <f>IF(G610=TRUE,TRUE,FALSE)</f>
        <v>0</v>
      </c>
      <c r="H807" s="34" t="str">
        <f>IF(G807=TRUE,H610,"")</f>
        <v/>
      </c>
      <c r="I807" s="34"/>
      <c r="J807" s="14"/>
    </row>
    <row r="808" hidden="1">
      <c r="A808" s="90" t="str">
        <f>HYPERLINK("https://github.com/pytorch/pytorch/blob/f99ab991dcd3719ee25dd3377a53ea12e518308e/test/torch_np/numpy_tests/lib/test_function_base.py#L2426", "TestPiecewise")</f>
        <v>TestPiecewise</v>
      </c>
      <c r="B808" s="91" t="s">
        <v>1052</v>
      </c>
      <c r="C808" s="91"/>
      <c r="D808" s="91" t="s">
        <v>912</v>
      </c>
      <c r="E808" s="92"/>
      <c r="F808" s="48" t="s">
        <v>644</v>
      </c>
      <c r="G808" s="93" t="b">
        <f>IF(G610=TRUE,TRUE,FALSE)</f>
        <v>0</v>
      </c>
      <c r="H808" s="34" t="str">
        <f>IF(G808=TRUE,H610,"")</f>
        <v/>
      </c>
      <c r="I808" s="34"/>
      <c r="J808" s="14"/>
    </row>
    <row r="809" hidden="1">
      <c r="A809" s="85" t="str">
        <f>HYPERLINK("https://github.com/pytorch/pytorch/blob/f99ab991dcd3719ee25dd3377a53ea12e518308e/test/torch_np/numpy_tests/lib/test_function_base.py#L2540", "TestBincount")</f>
        <v>TestBincount</v>
      </c>
      <c r="B809" s="86" t="s">
        <v>1052</v>
      </c>
      <c r="C809" s="86"/>
      <c r="D809" s="86" t="s">
        <v>912</v>
      </c>
      <c r="E809" s="87"/>
      <c r="F809" s="48" t="s">
        <v>644</v>
      </c>
      <c r="G809" s="88" t="b">
        <f>IF(G610=TRUE,TRUE,FALSE)</f>
        <v>0</v>
      </c>
      <c r="H809" s="34" t="str">
        <f>IF(G809=TRUE,H610,"")</f>
        <v/>
      </c>
      <c r="I809" s="34"/>
      <c r="J809" s="14"/>
    </row>
    <row r="810" hidden="1">
      <c r="A810" s="90" t="str">
        <f>HYPERLINK("https://github.com/pytorch/pytorch/blob/f99ab991dcd3719ee25dd3377a53ea12e518308e/test/torch_np/numpy_tests/lib/test_function_base.py#L2657", "TestInterp")</f>
        <v>TestInterp</v>
      </c>
      <c r="B810" s="91" t="s">
        <v>1052</v>
      </c>
      <c r="C810" s="91"/>
      <c r="D810" s="91" t="s">
        <v>912</v>
      </c>
      <c r="E810" s="92"/>
      <c r="F810" s="48" t="s">
        <v>644</v>
      </c>
      <c r="G810" s="93" t="b">
        <f>IF(G610=TRUE,TRUE,FALSE)</f>
        <v>0</v>
      </c>
      <c r="H810" s="34" t="str">
        <f>IF(G810=TRUE,H610,"")</f>
        <v/>
      </c>
      <c r="I810" s="34"/>
      <c r="J810" s="14"/>
    </row>
    <row r="811" hidden="1">
      <c r="A811" s="85" t="str">
        <f>HYPERLINK("https://github.com/pytorch/pytorch/blob/f99ab991dcd3719ee25dd3377a53ea12e518308e/test/torch_np/numpy_tests/lib/test_function_base.py#L2849", "TestPercentile")</f>
        <v>TestPercentile</v>
      </c>
      <c r="B811" s="86" t="s">
        <v>1052</v>
      </c>
      <c r="C811" s="86"/>
      <c r="D811" s="86" t="s">
        <v>912</v>
      </c>
      <c r="E811" s="87"/>
      <c r="F811" s="48" t="s">
        <v>644</v>
      </c>
      <c r="G811" s="88" t="b">
        <f>IF(G610=TRUE,TRUE,FALSE)</f>
        <v>0</v>
      </c>
      <c r="H811" s="34" t="str">
        <f>IF(G811=TRUE,H610,"")</f>
        <v/>
      </c>
      <c r="I811" s="34"/>
      <c r="J811" s="14"/>
    </row>
    <row r="812" hidden="1">
      <c r="A812" s="90" t="str">
        <f>HYPERLINK("https://github.com/pytorch/pytorch/blob/f99ab991dcd3719ee25dd3377a53ea12e518308e/test/torch_np/numpy_tests/lib/test_function_base.py#L3449", "TestQuantile")</f>
        <v>TestQuantile</v>
      </c>
      <c r="B812" s="91" t="s">
        <v>1052</v>
      </c>
      <c r="C812" s="91"/>
      <c r="D812" s="91" t="s">
        <v>912</v>
      </c>
      <c r="E812" s="92"/>
      <c r="F812" s="48" t="s">
        <v>644</v>
      </c>
      <c r="G812" s="93" t="b">
        <f>IF(G610=TRUE,TRUE,FALSE)</f>
        <v>0</v>
      </c>
      <c r="H812" s="34" t="str">
        <f>IF(G812=TRUE,H610,"")</f>
        <v/>
      </c>
      <c r="I812" s="34"/>
      <c r="J812" s="14"/>
    </row>
    <row r="813" hidden="1">
      <c r="A813" s="85" t="str">
        <f>HYPERLINK("https://github.com/pytorch/pytorch/blob/f99ab991dcd3719ee25dd3377a53ea12e518308e/test/torch_np/numpy_tests/lib/test_function_base.py#L3631", "TestMedian")</f>
        <v>TestMedian</v>
      </c>
      <c r="B813" s="86" t="s">
        <v>1052</v>
      </c>
      <c r="C813" s="86"/>
      <c r="D813" s="86" t="s">
        <v>912</v>
      </c>
      <c r="E813" s="87"/>
      <c r="F813" s="48" t="s">
        <v>644</v>
      </c>
      <c r="G813" s="88" t="b">
        <f>IF(G610=TRUE,TRUE,FALSE)</f>
        <v>0</v>
      </c>
      <c r="H813" s="34" t="str">
        <f>IF(G813=TRUE,H610,"")</f>
        <v/>
      </c>
      <c r="I813" s="34"/>
      <c r="J813" s="14"/>
    </row>
    <row r="814" hidden="1">
      <c r="A814" s="90" t="str">
        <f>HYPERLINK("https://github.com/pytorch/pytorch/blob/f99ab991dcd3719ee25dd3377a53ea12e518308e/test/torch_np/numpy_tests/lib/test_function_base.py#L3909", "TestSortComplex")</f>
        <v>TestSortComplex</v>
      </c>
      <c r="B814" s="91" t="s">
        <v>1052</v>
      </c>
      <c r="C814" s="91"/>
      <c r="D814" s="91" t="s">
        <v>912</v>
      </c>
      <c r="E814" s="92"/>
      <c r="F814" s="48" t="s">
        <v>644</v>
      </c>
      <c r="G814" s="93" t="b">
        <f>IF(G610=TRUE,TRUE,FALSE)</f>
        <v>0</v>
      </c>
      <c r="H814" s="34" t="str">
        <f>IF(G814=TRUE,H610,"")</f>
        <v/>
      </c>
      <c r="I814" s="34"/>
      <c r="J814" s="14"/>
    </row>
    <row r="815" hidden="1">
      <c r="A815" s="85" t="str">
        <f>HYPERLINK("https://github.com/pytorch/pytorch/blob/f99ab991dcd3719ee25dd3377a53ea12e518308e/test/torch_np/numpy_tests/lib/test_histograms.py#L46", "TestHistogram")</f>
        <v>TestHistogram</v>
      </c>
      <c r="B815" s="86" t="s">
        <v>1053</v>
      </c>
      <c r="C815" s="86"/>
      <c r="D815" s="86" t="s">
        <v>912</v>
      </c>
      <c r="E815" s="87"/>
      <c r="F815" s="48" t="s">
        <v>644</v>
      </c>
      <c r="G815" s="88" t="b">
        <f>IF(G610=TRUE,TRUE,FALSE)</f>
        <v>0</v>
      </c>
      <c r="H815" s="34" t="str">
        <f>IF(G815=TRUE,H610,"")</f>
        <v/>
      </c>
      <c r="I815" s="34"/>
      <c r="J815" s="14"/>
    </row>
    <row r="816" hidden="1">
      <c r="A816" s="90" t="str">
        <f>HYPERLINK("https://github.com/pytorch/pytorch/blob/f99ab991dcd3719ee25dd3377a53ea12e518308e/test/torch_np/numpy_tests/lib/test_histograms.py#L433", "TestHistogramOptimBinNums")</f>
        <v>TestHistogramOptimBinNums</v>
      </c>
      <c r="B816" s="91" t="s">
        <v>1053</v>
      </c>
      <c r="C816" s="91"/>
      <c r="D816" s="91" t="s">
        <v>912</v>
      </c>
      <c r="E816" s="92"/>
      <c r="F816" s="48" t="s">
        <v>644</v>
      </c>
      <c r="G816" s="93" t="b">
        <f>IF(G610=TRUE,TRUE,FALSE)</f>
        <v>0</v>
      </c>
      <c r="H816" s="34" t="str">
        <f>IF(G816=TRUE,H610,"")</f>
        <v/>
      </c>
      <c r="I816" s="34"/>
      <c r="J816" s="14"/>
    </row>
    <row r="817" hidden="1">
      <c r="A817" s="85" t="str">
        <f>HYPERLINK("https://github.com/pytorch/pytorch/blob/f99ab991dcd3719ee25dd3377a53ea12e518308e/test/torch_np/numpy_tests/lib/test_histograms.py#L719", "TestHistogramdd")</f>
        <v>TestHistogramdd</v>
      </c>
      <c r="B817" s="86" t="s">
        <v>1053</v>
      </c>
      <c r="C817" s="86"/>
      <c r="D817" s="86" t="s">
        <v>912</v>
      </c>
      <c r="E817" s="87"/>
      <c r="F817" s="48" t="s">
        <v>644</v>
      </c>
      <c r="G817" s="88" t="b">
        <f>IF(G610=TRUE,TRUE,FALSE)</f>
        <v>0</v>
      </c>
      <c r="H817" s="34" t="str">
        <f>IF(G817=TRUE,H610,"")</f>
        <v/>
      </c>
      <c r="I817" s="34"/>
      <c r="J817" s="14"/>
    </row>
    <row r="818" hidden="1">
      <c r="A818" s="90" t="str">
        <f>HYPERLINK("https://github.com/pytorch/pytorch/blob/f99ab991dcd3719ee25dd3377a53ea12e518308e/test/torch_np/numpy_tests/lib/test_index_tricks.py#L54", "TestRavelUnravelIndex")</f>
        <v>TestRavelUnravelIndex</v>
      </c>
      <c r="B818" s="91" t="s">
        <v>1054</v>
      </c>
      <c r="C818" s="91"/>
      <c r="D818" s="91" t="s">
        <v>912</v>
      </c>
      <c r="E818" s="92"/>
      <c r="F818" s="48" t="s">
        <v>644</v>
      </c>
      <c r="G818" s="93" t="b">
        <f>IF(G610=TRUE,TRUE,FALSE)</f>
        <v>0</v>
      </c>
      <c r="H818" s="34" t="str">
        <f>IF(G818=TRUE,H610,"")</f>
        <v/>
      </c>
      <c r="I818" s="34"/>
      <c r="J818" s="14"/>
    </row>
    <row r="819" hidden="1">
      <c r="A819" s="85" t="str">
        <f>HYPERLINK("https://github.com/pytorch/pytorch/blob/f99ab991dcd3719ee25dd3377a53ea12e518308e/test/torch_np/numpy_tests/lib/test_index_tricks.py#L231", "TestGrid")</f>
        <v>TestGrid</v>
      </c>
      <c r="B819" s="86" t="s">
        <v>1054</v>
      </c>
      <c r="C819" s="86"/>
      <c r="D819" s="86" t="s">
        <v>912</v>
      </c>
      <c r="E819" s="87"/>
      <c r="F819" s="48" t="s">
        <v>644</v>
      </c>
      <c r="G819" s="88" t="b">
        <f>IF(G610=TRUE,TRUE,FALSE)</f>
        <v>0</v>
      </c>
      <c r="H819" s="34" t="str">
        <f>IF(G819=TRUE,H610,"")</f>
        <v/>
      </c>
      <c r="I819" s="34"/>
      <c r="J819" s="14"/>
    </row>
    <row r="820" hidden="1">
      <c r="A820" s="90" t="str">
        <f>HYPERLINK("https://github.com/pytorch/pytorch/blob/f99ab991dcd3719ee25dd3377a53ea12e518308e/test/torch_np/numpy_tests/lib/test_index_tricks.py#L348", "TestConcatenator")</f>
        <v>TestConcatenator</v>
      </c>
      <c r="B820" s="91" t="s">
        <v>1054</v>
      </c>
      <c r="C820" s="91"/>
      <c r="D820" s="91" t="s">
        <v>912</v>
      </c>
      <c r="E820" s="92"/>
      <c r="F820" s="48" t="s">
        <v>644</v>
      </c>
      <c r="G820" s="93" t="b">
        <f>IF(G610=TRUE,TRUE,FALSE)</f>
        <v>0</v>
      </c>
      <c r="H820" s="34" t="str">
        <f>IF(G820=TRUE,H610,"")</f>
        <v/>
      </c>
      <c r="I820" s="34"/>
      <c r="J820" s="14"/>
    </row>
    <row r="821" hidden="1">
      <c r="A821" s="85" t="str">
        <f>HYPERLINK("https://github.com/pytorch/pytorch/blob/f99ab991dcd3719ee25dd3377a53ea12e518308e/test/torch_np/numpy_tests/lib/test_index_tricks.py#L391", "TestNdenumerate")</f>
        <v>TestNdenumerate</v>
      </c>
      <c r="B821" s="86" t="s">
        <v>1054</v>
      </c>
      <c r="C821" s="86"/>
      <c r="D821" s="86" t="s">
        <v>912</v>
      </c>
      <c r="E821" s="87"/>
      <c r="F821" s="48" t="s">
        <v>644</v>
      </c>
      <c r="G821" s="88" t="b">
        <f>IF(G610=TRUE,TRUE,FALSE)</f>
        <v>0</v>
      </c>
      <c r="H821" s="34" t="str">
        <f>IF(G821=TRUE,H610,"")</f>
        <v/>
      </c>
      <c r="I821" s="34"/>
      <c r="J821" s="14"/>
    </row>
    <row r="822" hidden="1">
      <c r="A822" s="90" t="str">
        <f>HYPERLINK("https://github.com/pytorch/pytorch/blob/f99ab991dcd3719ee25dd3377a53ea12e518308e/test/torch_np/numpy_tests/lib/test_index_tricks.py#L399", "TestIndexExpression")</f>
        <v>TestIndexExpression</v>
      </c>
      <c r="B822" s="91" t="s">
        <v>1054</v>
      </c>
      <c r="C822" s="91"/>
      <c r="D822" s="91" t="s">
        <v>912</v>
      </c>
      <c r="E822" s="92"/>
      <c r="F822" s="48" t="s">
        <v>644</v>
      </c>
      <c r="G822" s="93" t="b">
        <f>IF(G610=TRUE,TRUE,FALSE)</f>
        <v>0</v>
      </c>
      <c r="H822" s="34" t="str">
        <f>IF(G822=TRUE,H610,"")</f>
        <v/>
      </c>
      <c r="I822" s="34"/>
      <c r="J822" s="14"/>
    </row>
    <row r="823" hidden="1">
      <c r="A823" s="85" t="str">
        <f>HYPERLINK("https://github.com/pytorch/pytorch/blob/f99ab991dcd3719ee25dd3377a53ea12e518308e/test/torch_np/numpy_tests/lib/test_index_tricks.py#L414", "TestIx_")</f>
        <v>TestIx_</v>
      </c>
      <c r="B823" s="86" t="s">
        <v>1054</v>
      </c>
      <c r="C823" s="86"/>
      <c r="D823" s="86" t="s">
        <v>912</v>
      </c>
      <c r="E823" s="87"/>
      <c r="F823" s="48" t="s">
        <v>644</v>
      </c>
      <c r="G823" s="88" t="b">
        <f>IF(G610=TRUE,TRUE,FALSE)</f>
        <v>0</v>
      </c>
      <c r="H823" s="34" t="str">
        <f>IF(G823=TRUE,H610,"")</f>
        <v/>
      </c>
      <c r="I823" s="34"/>
      <c r="J823" s="14"/>
    </row>
    <row r="824" hidden="1">
      <c r="A824" s="90" t="str">
        <f>HYPERLINK("https://github.com/pytorch/pytorch/blob/f99ab991dcd3719ee25dd3377a53ea12e518308e/test/torch_np/numpy_tests/lib/test_index_tricks.py#L456", "TestC")</f>
        <v>TestC</v>
      </c>
      <c r="B824" s="91" t="s">
        <v>1054</v>
      </c>
      <c r="C824" s="91"/>
      <c r="D824" s="91" t="s">
        <v>912</v>
      </c>
      <c r="E824" s="92"/>
      <c r="F824" s="48" t="s">
        <v>644</v>
      </c>
      <c r="G824" s="93" t="b">
        <f>IF(G610=TRUE,TRUE,FALSE)</f>
        <v>0</v>
      </c>
      <c r="H824" s="34" t="str">
        <f>IF(G824=TRUE,H610,"")</f>
        <v/>
      </c>
      <c r="I824" s="34"/>
      <c r="J824" s="14"/>
    </row>
    <row r="825" hidden="1">
      <c r="A825" s="85" t="str">
        <f>HYPERLINK("https://github.com/pytorch/pytorch/blob/f99ab991dcd3719ee25dd3377a53ea12e518308e/test/torch_np/numpy_tests/lib/test_index_tricks.py#L463", "TestFillDiagonal")</f>
        <v>TestFillDiagonal</v>
      </c>
      <c r="B825" s="86" t="s">
        <v>1054</v>
      </c>
      <c r="C825" s="86"/>
      <c r="D825" s="86" t="s">
        <v>912</v>
      </c>
      <c r="E825" s="87"/>
      <c r="F825" s="48" t="s">
        <v>644</v>
      </c>
      <c r="G825" s="88" t="b">
        <f>IF(G610=TRUE,TRUE,FALSE)</f>
        <v>0</v>
      </c>
      <c r="H825" s="34" t="str">
        <f>IF(G825=TRUE,H610,"")</f>
        <v/>
      </c>
      <c r="I825" s="34"/>
      <c r="J825" s="14"/>
    </row>
    <row r="826" hidden="1">
      <c r="A826" s="90" t="str">
        <f>HYPERLINK("https://github.com/pytorch/pytorch/blob/f99ab991dcd3719ee25dd3377a53ea12e518308e/test/torch_np/numpy_tests/lib/test_index_tricks.py#L545", "TestDiagIndices")</f>
        <v>TestDiagIndices</v>
      </c>
      <c r="B826" s="91" t="s">
        <v>1054</v>
      </c>
      <c r="C826" s="91"/>
      <c r="D826" s="91" t="s">
        <v>912</v>
      </c>
      <c r="E826" s="92"/>
      <c r="F826" s="48" t="s">
        <v>644</v>
      </c>
      <c r="G826" s="93" t="b">
        <f>IF(G610=TRUE,TRUE,FALSE)</f>
        <v>0</v>
      </c>
      <c r="H826" s="34" t="str">
        <f>IF(G826=TRUE,H610,"")</f>
        <v/>
      </c>
      <c r="I826" s="34"/>
      <c r="J826" s="14"/>
    </row>
    <row r="827" hidden="1">
      <c r="A827" s="85" t="str">
        <f>HYPERLINK("https://github.com/pytorch/pytorch/blob/f99ab991dcd3719ee25dd3377a53ea12e518308e/test/torch_np/numpy_tests/lib/test_index_tricks.py#L566", "TestDiagIndicesFrom")</f>
        <v>TestDiagIndicesFrom</v>
      </c>
      <c r="B827" s="86" t="s">
        <v>1054</v>
      </c>
      <c r="C827" s="86"/>
      <c r="D827" s="86" t="s">
        <v>912</v>
      </c>
      <c r="E827" s="87"/>
      <c r="F827" s="48" t="s">
        <v>644</v>
      </c>
      <c r="G827" s="88" t="b">
        <f>IF(G610=TRUE,TRUE,FALSE)</f>
        <v>0</v>
      </c>
      <c r="H827" s="34" t="str">
        <f>IF(G827=TRUE,H610,"")</f>
        <v/>
      </c>
      <c r="I827" s="34"/>
      <c r="J827" s="14"/>
    </row>
    <row r="828" hidden="1">
      <c r="A828" s="90" t="str">
        <f>HYPERLINK("https://github.com/pytorch/pytorch/blob/f99ab991dcd3719ee25dd3377a53ea12e518308e/test/torch_np/numpy_tests/lib/test_index_tricks.py#L584", "TestNdIndex")</f>
        <v>TestNdIndex</v>
      </c>
      <c r="B828" s="91" t="s">
        <v>1054</v>
      </c>
      <c r="C828" s="91"/>
      <c r="D828" s="91" t="s">
        <v>912</v>
      </c>
      <c r="E828" s="92"/>
      <c r="F828" s="48" t="s">
        <v>644</v>
      </c>
      <c r="G828" s="93" t="b">
        <f>IF(G610=TRUE,TRUE,FALSE)</f>
        <v>0</v>
      </c>
      <c r="H828" s="34" t="str">
        <f>IF(G828=TRUE,H610,"")</f>
        <v/>
      </c>
      <c r="I828" s="34"/>
      <c r="J828" s="14"/>
    </row>
    <row r="829" hidden="1">
      <c r="A829" s="85" t="str">
        <f>HYPERLINK("https://github.com/pytorch/pytorch/blob/f99ab991dcd3719ee25dd3377a53ea12e518308e/test/torch_np/numpy_tests/lib/test_shape_base_.py#L81", "TestTakeAlongAxis")</f>
        <v>TestTakeAlongAxis</v>
      </c>
      <c r="B829" s="86" t="s">
        <v>1055</v>
      </c>
      <c r="C829" s="86"/>
      <c r="D829" s="86" t="s">
        <v>912</v>
      </c>
      <c r="E829" s="87"/>
      <c r="F829" s="48" t="s">
        <v>644</v>
      </c>
      <c r="G829" s="88" t="b">
        <f>IF(G610=TRUE,TRUE,FALSE)</f>
        <v>0</v>
      </c>
      <c r="H829" s="34" t="str">
        <f>IF(G829=TRUE,H610,"")</f>
        <v/>
      </c>
      <c r="I829" s="34"/>
      <c r="J829" s="14"/>
    </row>
    <row r="830" hidden="1">
      <c r="A830" s="90" t="str">
        <f>HYPERLINK("https://github.com/pytorch/pytorch/blob/f99ab991dcd3719ee25dd3377a53ea12e518308e/test/torch_np/numpy_tests/lib/test_shape_base_.py#L138", "TestPutAlongAxis")</f>
        <v>TestPutAlongAxis</v>
      </c>
      <c r="B830" s="91" t="s">
        <v>1055</v>
      </c>
      <c r="C830" s="91"/>
      <c r="D830" s="91" t="s">
        <v>912</v>
      </c>
      <c r="E830" s="92"/>
      <c r="F830" s="48" t="s">
        <v>644</v>
      </c>
      <c r="G830" s="93" t="b">
        <f>IF(G610=TRUE,TRUE,FALSE)</f>
        <v>0</v>
      </c>
      <c r="H830" s="34" t="str">
        <f>IF(G830=TRUE,H610,"")</f>
        <v/>
      </c>
      <c r="I830" s="34"/>
      <c r="J830" s="14"/>
    </row>
    <row r="831" hidden="1">
      <c r="A831" s="85" t="str">
        <f>HYPERLINK("https://github.com/pytorch/pytorch/blob/f99ab991dcd3719ee25dd3377a53ea12e518308e/test/torch_np/numpy_tests/lib/test_shape_base_.py#L166", "TestApplyAlongAxis")</f>
        <v>TestApplyAlongAxis</v>
      </c>
      <c r="B831" s="86" t="s">
        <v>1055</v>
      </c>
      <c r="C831" s="86"/>
      <c r="D831" s="86" t="s">
        <v>912</v>
      </c>
      <c r="E831" s="87"/>
      <c r="F831" s="48" t="s">
        <v>644</v>
      </c>
      <c r="G831" s="88" t="b">
        <f>IF(G610=TRUE,TRUE,FALSE)</f>
        <v>0</v>
      </c>
      <c r="H831" s="34" t="str">
        <f>IF(G831=TRUE,H610,"")</f>
        <v/>
      </c>
      <c r="I831" s="34"/>
      <c r="J831" s="14"/>
    </row>
    <row r="832" hidden="1">
      <c r="A832" s="90" t="str">
        <f>HYPERLINK("https://github.com/pytorch/pytorch/blob/f99ab991dcd3719ee25dd3377a53ea12e518308e/test/torch_np/numpy_tests/lib/test_shape_base_.py#L296", "TestApplyOverAxes")</f>
        <v>TestApplyOverAxes</v>
      </c>
      <c r="B832" s="91" t="s">
        <v>1055</v>
      </c>
      <c r="C832" s="91"/>
      <c r="D832" s="91" t="s">
        <v>912</v>
      </c>
      <c r="E832" s="92"/>
      <c r="F832" s="48" t="s">
        <v>644</v>
      </c>
      <c r="G832" s="93" t="b">
        <f>IF(G610=TRUE,TRUE,FALSE)</f>
        <v>0</v>
      </c>
      <c r="H832" s="34" t="str">
        <f>IF(G832=TRUE,H610,"")</f>
        <v/>
      </c>
      <c r="I832" s="34"/>
      <c r="J832" s="14"/>
    </row>
    <row r="833" hidden="1">
      <c r="A833" s="85" t="str">
        <f>HYPERLINK("https://github.com/pytorch/pytorch/blob/f99ab991dcd3719ee25dd3377a53ea12e518308e/test/torch_np/numpy_tests/lib/test_shape_base_.py#L303", "TestExpandDims")</f>
        <v>TestExpandDims</v>
      </c>
      <c r="B833" s="86" t="s">
        <v>1055</v>
      </c>
      <c r="C833" s="86"/>
      <c r="D833" s="86" t="s">
        <v>912</v>
      </c>
      <c r="E833" s="87"/>
      <c r="F833" s="48" t="s">
        <v>644</v>
      </c>
      <c r="G833" s="88" t="b">
        <f>IF(G610=TRUE,TRUE,FALSE)</f>
        <v>0</v>
      </c>
      <c r="H833" s="34" t="str">
        <f>IF(G833=TRUE,H610,"")</f>
        <v/>
      </c>
      <c r="I833" s="34"/>
      <c r="J833" s="14"/>
    </row>
    <row r="834" hidden="1">
      <c r="A834" s="90" t="str">
        <f>HYPERLINK("https://github.com/pytorch/pytorch/blob/f99ab991dcd3719ee25dd3377a53ea12e518308e/test/torch_np/numpy_tests/lib/test_shape_base_.py#L346", "TestArraySplit")</f>
        <v>TestArraySplit</v>
      </c>
      <c r="B834" s="91" t="s">
        <v>1055</v>
      </c>
      <c r="C834" s="91"/>
      <c r="D834" s="91" t="s">
        <v>912</v>
      </c>
      <c r="E834" s="92"/>
      <c r="F834" s="48" t="s">
        <v>644</v>
      </c>
      <c r="G834" s="93" t="b">
        <f>IF(G610=TRUE,TRUE,FALSE)</f>
        <v>0</v>
      </c>
      <c r="H834" s="34" t="str">
        <f>IF(G834=TRUE,H610,"")</f>
        <v/>
      </c>
      <c r="I834" s="34"/>
      <c r="J834" s="14"/>
    </row>
    <row r="835" hidden="1">
      <c r="A835" s="85" t="str">
        <f>HYPERLINK("https://github.com/pytorch/pytorch/blob/f99ab991dcd3719ee25dd3377a53ea12e518308e/test/torch_np/numpy_tests/lib/test_shape_base_.py#L530", "TestSplit")</f>
        <v>TestSplit</v>
      </c>
      <c r="B835" s="86" t="s">
        <v>1055</v>
      </c>
      <c r="C835" s="86"/>
      <c r="D835" s="86" t="s">
        <v>912</v>
      </c>
      <c r="E835" s="87"/>
      <c r="F835" s="48" t="s">
        <v>644</v>
      </c>
      <c r="G835" s="88" t="b">
        <f>IF(G610=TRUE,TRUE,FALSE)</f>
        <v>0</v>
      </c>
      <c r="H835" s="34" t="str">
        <f>IF(G835=TRUE,H610,"")</f>
        <v/>
      </c>
      <c r="I835" s="34"/>
      <c r="J835" s="14"/>
    </row>
    <row r="836" hidden="1">
      <c r="A836" s="90" t="str">
        <f>HYPERLINK("https://github.com/pytorch/pytorch/blob/f99ab991dcd3719ee25dd3377a53ea12e518308e/test/torch_np/numpy_tests/lib/test_shape_base_.py#L546", "TestColumnStack")</f>
        <v>TestColumnStack</v>
      </c>
      <c r="B836" s="91" t="s">
        <v>1055</v>
      </c>
      <c r="C836" s="91"/>
      <c r="D836" s="91" t="s">
        <v>912</v>
      </c>
      <c r="E836" s="92"/>
      <c r="F836" s="48" t="s">
        <v>644</v>
      </c>
      <c r="G836" s="93" t="b">
        <f>IF(G610=TRUE,TRUE,FALSE)</f>
        <v>0</v>
      </c>
      <c r="H836" s="34" t="str">
        <f>IF(G836=TRUE,H610,"")</f>
        <v/>
      </c>
      <c r="I836" s="34"/>
      <c r="J836" s="14"/>
    </row>
    <row r="837" hidden="1">
      <c r="A837" s="85" t="str">
        <f>HYPERLINK("https://github.com/pytorch/pytorch/blob/f99ab991dcd3719ee25dd3377a53ea12e518308e/test/torch_np/numpy_tests/lib/test_shape_base_.py#L572", "TestDstack")</f>
        <v>TestDstack</v>
      </c>
      <c r="B837" s="86" t="s">
        <v>1055</v>
      </c>
      <c r="C837" s="86"/>
      <c r="D837" s="86" t="s">
        <v>912</v>
      </c>
      <c r="E837" s="87"/>
      <c r="F837" s="48" t="s">
        <v>644</v>
      </c>
      <c r="G837" s="88" t="b">
        <f>IF(G610=TRUE,TRUE,FALSE)</f>
        <v>0</v>
      </c>
      <c r="H837" s="34" t="str">
        <f>IF(G837=TRUE,H610,"")</f>
        <v/>
      </c>
      <c r="I837" s="34"/>
      <c r="J837" s="14"/>
    </row>
    <row r="838" hidden="1">
      <c r="A838" s="90" t="str">
        <f>HYPERLINK("https://github.com/pytorch/pytorch/blob/f99ab991dcd3719ee25dd3377a53ea12e518308e/test/torch_np/numpy_tests/lib/test_shape_base_.py#L622", "TestHsplit")</f>
        <v>TestHsplit</v>
      </c>
      <c r="B838" s="91" t="s">
        <v>1055</v>
      </c>
      <c r="C838" s="91"/>
      <c r="D838" s="91" t="s">
        <v>912</v>
      </c>
      <c r="E838" s="92"/>
      <c r="F838" s="48" t="s">
        <v>644</v>
      </c>
      <c r="G838" s="93" t="b">
        <f>IF(G610=TRUE,TRUE,FALSE)</f>
        <v>0</v>
      </c>
      <c r="H838" s="34" t="str">
        <f>IF(G838=TRUE,H610,"")</f>
        <v/>
      </c>
      <c r="I838" s="34"/>
      <c r="J838" s="14"/>
    </row>
    <row r="839" hidden="1">
      <c r="A839" s="85" t="str">
        <f>HYPERLINK("https://github.com/pytorch/pytorch/blob/f99ab991dcd3719ee25dd3377a53ea12e518308e/test/torch_np/numpy_tests/lib/test_shape_base_.py#L649", "TestVsplit")</f>
        <v>TestVsplit</v>
      </c>
      <c r="B839" s="86" t="s">
        <v>1055</v>
      </c>
      <c r="C839" s="86"/>
      <c r="D839" s="86" t="s">
        <v>912</v>
      </c>
      <c r="E839" s="87"/>
      <c r="F839" s="48" t="s">
        <v>644</v>
      </c>
      <c r="G839" s="88" t="b">
        <f>IF(G610=TRUE,TRUE,FALSE)</f>
        <v>0</v>
      </c>
      <c r="H839" s="34" t="str">
        <f>IF(G839=TRUE,H610,"")</f>
        <v/>
      </c>
      <c r="I839" s="34"/>
      <c r="J839" s="14"/>
    </row>
    <row r="840" hidden="1">
      <c r="A840" s="90" t="str">
        <f>HYPERLINK("https://github.com/pytorch/pytorch/blob/f99ab991dcd3719ee25dd3377a53ea12e518308e/test/torch_np/numpy_tests/lib/test_shape_base_.py#L674", "TestDsplit")</f>
        <v>TestDsplit</v>
      </c>
      <c r="B840" s="91" t="s">
        <v>1055</v>
      </c>
      <c r="C840" s="91"/>
      <c r="D840" s="91" t="s">
        <v>912</v>
      </c>
      <c r="E840" s="92"/>
      <c r="F840" s="48" t="s">
        <v>644</v>
      </c>
      <c r="G840" s="93" t="b">
        <f>IF(G610=TRUE,TRUE,FALSE)</f>
        <v>0</v>
      </c>
      <c r="H840" s="34" t="str">
        <f>IF(G840=TRUE,H610,"")</f>
        <v/>
      </c>
      <c r="I840" s="34"/>
      <c r="J840" s="14"/>
    </row>
    <row r="841" hidden="1">
      <c r="A841" s="85" t="str">
        <f>HYPERLINK("https://github.com/pytorch/pytorch/blob/f99ab991dcd3719ee25dd3377a53ea12e518308e/test/torch_np/numpy_tests/lib/test_shape_base_.py#L705", "TestSqueeze")</f>
        <v>TestSqueeze</v>
      </c>
      <c r="B841" s="86" t="s">
        <v>1055</v>
      </c>
      <c r="C841" s="86"/>
      <c r="D841" s="86" t="s">
        <v>912</v>
      </c>
      <c r="E841" s="87"/>
      <c r="F841" s="48" t="s">
        <v>644</v>
      </c>
      <c r="G841" s="88" t="b">
        <f>IF(G610=TRUE,TRUE,FALSE)</f>
        <v>0</v>
      </c>
      <c r="H841" s="34" t="str">
        <f>IF(G841=TRUE,H610,"")</f>
        <v/>
      </c>
      <c r="I841" s="34"/>
      <c r="J841" s="14"/>
    </row>
    <row r="842" hidden="1">
      <c r="A842" s="90" t="str">
        <f>HYPERLINK("https://github.com/pytorch/pytorch/blob/f99ab991dcd3719ee25dd3377a53ea12e518308e/test/torch_np/numpy_tests/lib/test_shape_base_.py#L771", "TestKron")</f>
        <v>TestKron</v>
      </c>
      <c r="B842" s="91" t="s">
        <v>1055</v>
      </c>
      <c r="C842" s="91"/>
      <c r="D842" s="91" t="s">
        <v>912</v>
      </c>
      <c r="E842" s="92"/>
      <c r="F842" s="48" t="s">
        <v>644</v>
      </c>
      <c r="G842" s="93" t="b">
        <f>IF(G610=TRUE,TRUE,FALSE)</f>
        <v>0</v>
      </c>
      <c r="H842" s="34" t="str">
        <f>IF(G842=TRUE,H610,"")</f>
        <v/>
      </c>
      <c r="I842" s="34"/>
      <c r="J842" s="14"/>
    </row>
    <row r="843" hidden="1">
      <c r="A843" s="85" t="str">
        <f>HYPERLINK("https://github.com/pytorch/pytorch/blob/f99ab991dcd3719ee25dd3377a53ea12e518308e/test/torch_np/numpy_tests/lib/test_shape_base_.py#L827", "TestTile")</f>
        <v>TestTile</v>
      </c>
      <c r="B843" s="86" t="s">
        <v>1055</v>
      </c>
      <c r="C843" s="86"/>
      <c r="D843" s="86" t="s">
        <v>912</v>
      </c>
      <c r="E843" s="87"/>
      <c r="F843" s="48" t="s">
        <v>644</v>
      </c>
      <c r="G843" s="88" t="b">
        <f>IF(G610=TRUE,TRUE,FALSE)</f>
        <v>0</v>
      </c>
      <c r="H843" s="34" t="str">
        <f>IF(G843=TRUE,H610,"")</f>
        <v/>
      </c>
      <c r="I843" s="34"/>
      <c r="J843" s="14"/>
    </row>
    <row r="844" hidden="1">
      <c r="A844" s="90" t="str">
        <f>HYPERLINK("https://github.com/pytorch/pytorch/blob/f99ab991dcd3719ee25dd3377a53ea12e518308e/test/torch_np/numpy_tests/lib/test_shape_base_.py#L867", "TestMayShareMemory")</f>
        <v>TestMayShareMemory</v>
      </c>
      <c r="B844" s="91" t="s">
        <v>1055</v>
      </c>
      <c r="C844" s="91"/>
      <c r="D844" s="91" t="s">
        <v>912</v>
      </c>
      <c r="E844" s="92"/>
      <c r="F844" s="48" t="s">
        <v>644</v>
      </c>
      <c r="G844" s="93" t="b">
        <f>IF(G610=TRUE,TRUE,FALSE)</f>
        <v>0</v>
      </c>
      <c r="H844" s="34" t="str">
        <f>IF(G844=TRUE,H610,"")</f>
        <v/>
      </c>
      <c r="I844" s="34"/>
      <c r="J844" s="14"/>
    </row>
    <row r="845" hidden="1">
      <c r="A845" s="85" t="str">
        <f>HYPERLINK("https://github.com/pytorch/pytorch/blob/f99ab991dcd3719ee25dd3377a53ea12e518308e/test/torch_np/numpy_tests/lib/test_twodim_base.py#L85", "TestEye")</f>
        <v>TestEye</v>
      </c>
      <c r="B845" s="86" t="s">
        <v>1056</v>
      </c>
      <c r="C845" s="86"/>
      <c r="D845" s="86" t="s">
        <v>912</v>
      </c>
      <c r="E845" s="87"/>
      <c r="F845" s="48" t="s">
        <v>644</v>
      </c>
      <c r="G845" s="88" t="b">
        <f>IF(G610=TRUE,TRUE,FALSE)</f>
        <v>0</v>
      </c>
      <c r="H845" s="34" t="str">
        <f>IF(G845=TRUE,H610,"")</f>
        <v/>
      </c>
      <c r="I845" s="34"/>
      <c r="J845" s="14"/>
    </row>
    <row r="846" hidden="1">
      <c r="A846" s="90" t="str">
        <f>HYPERLINK("https://github.com/pytorch/pytorch/blob/f99ab991dcd3719ee25dd3377a53ea12e518308e/test/torch_np/numpy_tests/lib/test_twodim_base.py#L149", "TestDiag")</f>
        <v>TestDiag</v>
      </c>
      <c r="B846" s="91" t="s">
        <v>1056</v>
      </c>
      <c r="C846" s="91"/>
      <c r="D846" s="91" t="s">
        <v>912</v>
      </c>
      <c r="E846" s="92"/>
      <c r="F846" s="48" t="s">
        <v>644</v>
      </c>
      <c r="G846" s="93" t="b">
        <f>IF(G610=TRUE,TRUE,FALSE)</f>
        <v>0</v>
      </c>
      <c r="H846" s="34" t="str">
        <f>IF(G846=TRUE,H610,"")</f>
        <v/>
      </c>
      <c r="I846" s="34"/>
      <c r="J846" s="14"/>
    </row>
    <row r="847" hidden="1">
      <c r="A847" s="85" t="str">
        <f>HYPERLINK("https://github.com/pytorch/pytorch/blob/f99ab991dcd3719ee25dd3377a53ea12e518308e/test/torch_np/numpy_tests/lib/test_twodim_base.py#L198", "TestFliplr")</f>
        <v>TestFliplr</v>
      </c>
      <c r="B847" s="86" t="s">
        <v>1056</v>
      </c>
      <c r="C847" s="86"/>
      <c r="D847" s="86" t="s">
        <v>912</v>
      </c>
      <c r="E847" s="87"/>
      <c r="F847" s="48" t="s">
        <v>644</v>
      </c>
      <c r="G847" s="88" t="b">
        <f>IF(G610=TRUE,TRUE,FALSE)</f>
        <v>0</v>
      </c>
      <c r="H847" s="34" t="str">
        <f>IF(G847=TRUE,H610,"")</f>
        <v/>
      </c>
      <c r="I847" s="34"/>
      <c r="J847" s="14"/>
    </row>
    <row r="848" hidden="1">
      <c r="A848" s="90" t="str">
        <f>HYPERLINK("https://github.com/pytorch/pytorch/blob/f99ab991dcd3719ee25dd3377a53ea12e518308e/test/torch_np/numpy_tests/lib/test_twodim_base.py#L210", "TestFlipud")</f>
        <v>TestFlipud</v>
      </c>
      <c r="B848" s="91" t="s">
        <v>1056</v>
      </c>
      <c r="C848" s="91"/>
      <c r="D848" s="91" t="s">
        <v>912</v>
      </c>
      <c r="E848" s="92"/>
      <c r="F848" s="48" t="s">
        <v>644</v>
      </c>
      <c r="G848" s="93" t="b">
        <f>IF(G610=TRUE,TRUE,FALSE)</f>
        <v>0</v>
      </c>
      <c r="H848" s="34" t="str">
        <f>IF(G848=TRUE,H610,"")</f>
        <v/>
      </c>
      <c r="I848" s="34"/>
      <c r="J848" s="14"/>
    </row>
    <row r="849" hidden="1">
      <c r="A849" s="85" t="str">
        <f>HYPERLINK("https://github.com/pytorch/pytorch/blob/f99ab991dcd3719ee25dd3377a53ea12e518308e/test/torch_np/numpy_tests/lib/test_twodim_base.py#L222", "TestHistogram2d")</f>
        <v>TestHistogram2d</v>
      </c>
      <c r="B849" s="86" t="s">
        <v>1056</v>
      </c>
      <c r="C849" s="86"/>
      <c r="D849" s="86" t="s">
        <v>912</v>
      </c>
      <c r="E849" s="87"/>
      <c r="F849" s="48" t="s">
        <v>644</v>
      </c>
      <c r="G849" s="88" t="b">
        <f>IF(G610=TRUE,TRUE,FALSE)</f>
        <v>0</v>
      </c>
      <c r="H849" s="34" t="str">
        <f>IF(G849=TRUE,H610,"")</f>
        <v/>
      </c>
      <c r="I849" s="34"/>
      <c r="J849" s="14"/>
    </row>
    <row r="850" hidden="1">
      <c r="A850" s="90" t="str">
        <f>HYPERLINK("https://github.com/pytorch/pytorch/blob/f99ab991dcd3719ee25dd3377a53ea12e518308e/test/torch_np/numpy_tests/lib/test_twodim_base.py#L331", "TestTri")</f>
        <v>TestTri</v>
      </c>
      <c r="B850" s="91" t="s">
        <v>1056</v>
      </c>
      <c r="C850" s="91"/>
      <c r="D850" s="91" t="s">
        <v>912</v>
      </c>
      <c r="E850" s="92"/>
      <c r="F850" s="48" t="s">
        <v>644</v>
      </c>
      <c r="G850" s="93" t="b">
        <f>IF(G610=TRUE,TRUE,FALSE)</f>
        <v>0</v>
      </c>
      <c r="H850" s="34" t="str">
        <f>IF(G850=TRUE,H610,"")</f>
        <v/>
      </c>
      <c r="I850" s="34"/>
      <c r="J850" s="14"/>
    </row>
    <row r="851" hidden="1">
      <c r="A851" s="85" t="str">
        <f>HYPERLINK("https://github.com/pytorch/pytorch/blob/f99ab991dcd3719ee25dd3377a53ea12e518308e/test/torch_np/numpy_tests/lib/test_twodim_base.py#L468", "TestTriuIndices")</f>
        <v>TestTriuIndices</v>
      </c>
      <c r="B851" s="86" t="s">
        <v>1056</v>
      </c>
      <c r="C851" s="86"/>
      <c r="D851" s="86" t="s">
        <v>912</v>
      </c>
      <c r="E851" s="87"/>
      <c r="F851" s="48" t="s">
        <v>644</v>
      </c>
      <c r="G851" s="88" t="b">
        <f>IF(G610=TRUE,TRUE,FALSE)</f>
        <v>0</v>
      </c>
      <c r="H851" s="34" t="str">
        <f>IF(G851=TRUE,H610,"")</f>
        <v/>
      </c>
      <c r="I851" s="34"/>
      <c r="J851" s="14"/>
    </row>
    <row r="852" hidden="1">
      <c r="A852" s="90" t="str">
        <f>HYPERLINK("https://github.com/pytorch/pytorch/blob/f99ab991dcd3719ee25dd3377a53ea12e518308e/test/torch_np/numpy_tests/lib/test_twodim_base.py#L533", "TestTrilIndicesFrom")</f>
        <v>TestTrilIndicesFrom</v>
      </c>
      <c r="B852" s="91" t="s">
        <v>1056</v>
      </c>
      <c r="C852" s="91"/>
      <c r="D852" s="91" t="s">
        <v>912</v>
      </c>
      <c r="E852" s="92"/>
      <c r="F852" s="48" t="s">
        <v>644</v>
      </c>
      <c r="G852" s="93" t="b">
        <f>IF(G610=TRUE,TRUE,FALSE)</f>
        <v>0</v>
      </c>
      <c r="H852" s="34" t="str">
        <f>IF(G852=TRUE,H610,"")</f>
        <v/>
      </c>
      <c r="I852" s="34"/>
      <c r="J852" s="14"/>
    </row>
    <row r="853" hidden="1">
      <c r="A853" s="85" t="str">
        <f>HYPERLINK("https://github.com/pytorch/pytorch/blob/f99ab991dcd3719ee25dd3377a53ea12e518308e/test/torch_np/numpy_tests/lib/test_twodim_base.py#L540", "TestTriuIndicesFrom")</f>
        <v>TestTriuIndicesFrom</v>
      </c>
      <c r="B853" s="86" t="s">
        <v>1056</v>
      </c>
      <c r="C853" s="86"/>
      <c r="D853" s="86" t="s">
        <v>912</v>
      </c>
      <c r="E853" s="87"/>
      <c r="F853" s="48" t="s">
        <v>644</v>
      </c>
      <c r="G853" s="88" t="b">
        <f>IF(G610=TRUE,TRUE,FALSE)</f>
        <v>0</v>
      </c>
      <c r="H853" s="34" t="str">
        <f>IF(G853=TRUE,H610,"")</f>
        <v/>
      </c>
      <c r="I853" s="34"/>
      <c r="J853" s="14"/>
    </row>
    <row r="854" hidden="1">
      <c r="A854" s="90" t="str">
        <f>HYPERLINK("https://github.com/pytorch/pytorch/blob/f99ab991dcd3719ee25dd3377a53ea12e518308e/test/torch_np/numpy_tests/lib/test_twodim_base.py#L547", "TestVander")</f>
        <v>TestVander</v>
      </c>
      <c r="B854" s="91" t="s">
        <v>1056</v>
      </c>
      <c r="C854" s="91"/>
      <c r="D854" s="91" t="s">
        <v>912</v>
      </c>
      <c r="E854" s="92"/>
      <c r="F854" s="48" t="s">
        <v>644</v>
      </c>
      <c r="G854" s="93" t="b">
        <f>IF(G610=TRUE,TRUE,FALSE)</f>
        <v>0</v>
      </c>
      <c r="H854" s="34" t="str">
        <f>IF(G854=TRUE,H610,"")</f>
        <v/>
      </c>
      <c r="I854" s="34"/>
      <c r="J854" s="14"/>
    </row>
    <row r="855" hidden="1">
      <c r="A855" s="85" t="str">
        <f>HYPERLINK("https://github.com/pytorch/pytorch/blob/f99ab991dcd3719ee25dd3377a53ea12e518308e/test/torch_np/numpy_tests/lib/test_type_check.py#L55", "TestCommonType")</f>
        <v>TestCommonType</v>
      </c>
      <c r="B855" s="86" t="s">
        <v>1057</v>
      </c>
      <c r="C855" s="86"/>
      <c r="D855" s="86" t="s">
        <v>912</v>
      </c>
      <c r="E855" s="87"/>
      <c r="F855" s="48" t="s">
        <v>644</v>
      </c>
      <c r="G855" s="88" t="b">
        <f>IF(G610=TRUE,TRUE,FALSE)</f>
        <v>0</v>
      </c>
      <c r="H855" s="34" t="str">
        <f>IF(G855=TRUE,H610,"")</f>
        <v/>
      </c>
      <c r="I855" s="34"/>
      <c r="J855" s="14"/>
    </row>
    <row r="856" hidden="1">
      <c r="A856" s="90" t="str">
        <f>HYPERLINK("https://github.com/pytorch/pytorch/blob/f99ab991dcd3719ee25dd3377a53ea12e518308e/test/torch_np/numpy_tests/lib/test_type_check.py#L72", "TestMintypecode")</f>
        <v>TestMintypecode</v>
      </c>
      <c r="B856" s="91" t="s">
        <v>1057</v>
      </c>
      <c r="C856" s="91"/>
      <c r="D856" s="91" t="s">
        <v>912</v>
      </c>
      <c r="E856" s="92"/>
      <c r="F856" s="48" t="s">
        <v>644</v>
      </c>
      <c r="G856" s="93" t="b">
        <f>IF(G610=TRUE,TRUE,FALSE)</f>
        <v>0</v>
      </c>
      <c r="H856" s="34" t="str">
        <f>IF(G856=TRUE,H610,"")</f>
        <v/>
      </c>
      <c r="I856" s="34"/>
      <c r="J856" s="14"/>
    </row>
    <row r="857" hidden="1">
      <c r="A857" s="85" t="str">
        <f>HYPERLINK("https://github.com/pytorch/pytorch/blob/f99ab991dcd3719ee25dd3377a53ea12e518308e/test/torch_np/numpy_tests/lib/test_type_check.py#L122", "TestIsscalar")</f>
        <v>TestIsscalar</v>
      </c>
      <c r="B857" s="86" t="s">
        <v>1057</v>
      </c>
      <c r="C857" s="86"/>
      <c r="D857" s="86" t="s">
        <v>912</v>
      </c>
      <c r="E857" s="87"/>
      <c r="F857" s="48" t="s">
        <v>644</v>
      </c>
      <c r="G857" s="88" t="b">
        <f>IF(G610=TRUE,TRUE,FALSE)</f>
        <v>0</v>
      </c>
      <c r="H857" s="34" t="str">
        <f>IF(G857=TRUE,H610,"")</f>
        <v/>
      </c>
      <c r="I857" s="34"/>
      <c r="J857" s="14"/>
    </row>
    <row r="858" hidden="1">
      <c r="A858" s="90" t="str">
        <f>HYPERLINK("https://github.com/pytorch/pytorch/blob/f99ab991dcd3719ee25dd3377a53ea12e518308e/test/torch_np/numpy_tests/lib/test_type_check.py#L131", "TestReal")</f>
        <v>TestReal</v>
      </c>
      <c r="B858" s="91" t="s">
        <v>1057</v>
      </c>
      <c r="C858" s="91"/>
      <c r="D858" s="91" t="s">
        <v>912</v>
      </c>
      <c r="E858" s="92"/>
      <c r="F858" s="48" t="s">
        <v>644</v>
      </c>
      <c r="G858" s="93" t="b">
        <f>IF(G610=TRUE,TRUE,FALSE)</f>
        <v>0</v>
      </c>
      <c r="H858" s="34" t="str">
        <f>IF(G858=TRUE,H610,"")</f>
        <v/>
      </c>
      <c r="I858" s="34"/>
      <c r="J858" s="14"/>
    </row>
    <row r="859" hidden="1">
      <c r="A859" s="85" t="str">
        <f>HYPERLINK("https://github.com/pytorch/pytorch/blob/f99ab991dcd3719ee25dd3377a53ea12e518308e/test/torch_np/numpy_tests/lib/test_type_check.py#L167", "TestImag")</f>
        <v>TestImag</v>
      </c>
      <c r="B859" s="86" t="s">
        <v>1057</v>
      </c>
      <c r="C859" s="86"/>
      <c r="D859" s="86" t="s">
        <v>912</v>
      </c>
      <c r="E859" s="87"/>
      <c r="F859" s="48" t="s">
        <v>644</v>
      </c>
      <c r="G859" s="88" t="b">
        <f>IF(G610=TRUE,TRUE,FALSE)</f>
        <v>0</v>
      </c>
      <c r="H859" s="34" t="str">
        <f>IF(G859=TRUE,H610,"")</f>
        <v/>
      </c>
      <c r="I859" s="34"/>
      <c r="J859" s="14"/>
    </row>
    <row r="860" hidden="1">
      <c r="A860" s="90" t="str">
        <f>HYPERLINK("https://github.com/pytorch/pytorch/blob/f99ab991dcd3719ee25dd3377a53ea12e518308e/test/torch_np/numpy_tests/lib/test_type_check.py#L203", "TestIscomplex")</f>
        <v>TestIscomplex</v>
      </c>
      <c r="B860" s="91" t="s">
        <v>1057</v>
      </c>
      <c r="C860" s="91"/>
      <c r="D860" s="91" t="s">
        <v>912</v>
      </c>
      <c r="E860" s="92"/>
      <c r="F860" s="48" t="s">
        <v>644</v>
      </c>
      <c r="G860" s="93" t="b">
        <f>IF(G610=TRUE,TRUE,FALSE)</f>
        <v>0</v>
      </c>
      <c r="H860" s="34" t="str">
        <f>IF(G860=TRUE,H610,"")</f>
        <v/>
      </c>
      <c r="I860" s="34"/>
      <c r="J860" s="14"/>
    </row>
    <row r="861" hidden="1">
      <c r="A861" s="85" t="str">
        <f>HYPERLINK("https://github.com/pytorch/pytorch/blob/f99ab991dcd3719ee25dd3377a53ea12e518308e/test/torch_np/numpy_tests/lib/test_type_check.py#L215", "TestIsreal")</f>
        <v>TestIsreal</v>
      </c>
      <c r="B861" s="86" t="s">
        <v>1057</v>
      </c>
      <c r="C861" s="86"/>
      <c r="D861" s="86" t="s">
        <v>912</v>
      </c>
      <c r="E861" s="87"/>
      <c r="F861" s="48" t="s">
        <v>644</v>
      </c>
      <c r="G861" s="88" t="b">
        <f>IF(G610=TRUE,TRUE,FALSE)</f>
        <v>0</v>
      </c>
      <c r="H861" s="34" t="str">
        <f>IF(G861=TRUE,H610,"")</f>
        <v/>
      </c>
      <c r="I861" s="34"/>
      <c r="J861" s="14"/>
    </row>
    <row r="862" hidden="1">
      <c r="A862" s="90" t="str">
        <f>HYPERLINK("https://github.com/pytorch/pytorch/blob/f99ab991dcd3719ee25dd3377a53ea12e518308e/test/torch_np/numpy_tests/lib/test_type_check.py#L233", "TestIscomplexobj")</f>
        <v>TestIscomplexobj</v>
      </c>
      <c r="B862" s="91" t="s">
        <v>1057</v>
      </c>
      <c r="C862" s="91"/>
      <c r="D862" s="91" t="s">
        <v>912</v>
      </c>
      <c r="E862" s="92"/>
      <c r="F862" s="48" t="s">
        <v>644</v>
      </c>
      <c r="G862" s="93" t="b">
        <f>IF(G610=TRUE,TRUE,FALSE)</f>
        <v>0</v>
      </c>
      <c r="H862" s="34" t="str">
        <f>IF(G862=TRUE,H610,"")</f>
        <v/>
      </c>
      <c r="I862" s="34"/>
      <c r="J862" s="14"/>
    </row>
    <row r="863" hidden="1">
      <c r="A863" s="85" t="str">
        <f>HYPERLINK("https://github.com/pytorch/pytorch/blob/f99ab991dcd3719ee25dd3377a53ea12e518308e/test/torch_np/numpy_tests/lib/test_type_check.py#L249", "TestIsrealobj")</f>
        <v>TestIsrealobj</v>
      </c>
      <c r="B863" s="86" t="s">
        <v>1057</v>
      </c>
      <c r="C863" s="86"/>
      <c r="D863" s="86" t="s">
        <v>912</v>
      </c>
      <c r="E863" s="87"/>
      <c r="F863" s="48" t="s">
        <v>644</v>
      </c>
      <c r="G863" s="88" t="b">
        <f>IF(G610=TRUE,TRUE,FALSE)</f>
        <v>0</v>
      </c>
      <c r="H863" s="34" t="str">
        <f>IF(G863=TRUE,H610,"")</f>
        <v/>
      </c>
      <c r="I863" s="34"/>
      <c r="J863" s="14"/>
    </row>
    <row r="864" hidden="1">
      <c r="A864" s="90" t="str">
        <f>HYPERLINK("https://github.com/pytorch/pytorch/blob/f99ab991dcd3719ee25dd3377a53ea12e518308e/test/torch_np/numpy_tests/lib/test_type_check.py#L257", "TestIsnan")</f>
        <v>TestIsnan</v>
      </c>
      <c r="B864" s="91" t="s">
        <v>1057</v>
      </c>
      <c r="C864" s="91"/>
      <c r="D864" s="91" t="s">
        <v>912</v>
      </c>
      <c r="E864" s="92"/>
      <c r="F864" s="48" t="s">
        <v>644</v>
      </c>
      <c r="G864" s="93" t="b">
        <f>IF(G610=TRUE,TRUE,FALSE)</f>
        <v>0</v>
      </c>
      <c r="H864" s="34" t="str">
        <f>IF(G864=TRUE,H610,"")</f>
        <v/>
      </c>
      <c r="I864" s="34"/>
      <c r="J864" s="14"/>
    </row>
    <row r="865" hidden="1">
      <c r="A865" s="85" t="str">
        <f>HYPERLINK("https://github.com/pytorch/pytorch/blob/f99ab991dcd3719ee25dd3377a53ea12e518308e/test/torch_np/numpy_tests/lib/test_type_check.py#L282", "TestIsfinite")</f>
        <v>TestIsfinite</v>
      </c>
      <c r="B865" s="86" t="s">
        <v>1057</v>
      </c>
      <c r="C865" s="86"/>
      <c r="D865" s="86" t="s">
        <v>912</v>
      </c>
      <c r="E865" s="87"/>
      <c r="F865" s="48" t="s">
        <v>644</v>
      </c>
      <c r="G865" s="88" t="b">
        <f>IF(G610=TRUE,TRUE,FALSE)</f>
        <v>0</v>
      </c>
      <c r="H865" s="34" t="str">
        <f>IF(G865=TRUE,H610,"")</f>
        <v/>
      </c>
      <c r="I865" s="34"/>
      <c r="J865" s="14"/>
    </row>
    <row r="866" hidden="1">
      <c r="A866" s="90" t="str">
        <f>HYPERLINK("https://github.com/pytorch/pytorch/blob/f99ab991dcd3719ee25dd3377a53ea12e518308e/test/torch_np/numpy_tests/lib/test_type_check.py#L309", "TestIsinf")</f>
        <v>TestIsinf</v>
      </c>
      <c r="B866" s="91" t="s">
        <v>1057</v>
      </c>
      <c r="C866" s="91"/>
      <c r="D866" s="91" t="s">
        <v>912</v>
      </c>
      <c r="E866" s="92"/>
      <c r="F866" s="48" t="s">
        <v>644</v>
      </c>
      <c r="G866" s="93" t="b">
        <f>IF(G610=TRUE,TRUE,FALSE)</f>
        <v>0</v>
      </c>
      <c r="H866" s="34" t="str">
        <f>IF(G866=TRUE,H610,"")</f>
        <v/>
      </c>
      <c r="I866" s="34"/>
      <c r="J866" s="14"/>
    </row>
    <row r="867" hidden="1">
      <c r="A867" s="85" t="str">
        <f>HYPERLINK("https://github.com/pytorch/pytorch/blob/f99ab991dcd3719ee25dd3377a53ea12e518308e/test/torch_np/numpy_tests/lib/test_type_check.py#L341", "TestIsposinf")</f>
        <v>TestIsposinf</v>
      </c>
      <c r="B867" s="86" t="s">
        <v>1057</v>
      </c>
      <c r="C867" s="86"/>
      <c r="D867" s="86" t="s">
        <v>912</v>
      </c>
      <c r="E867" s="87"/>
      <c r="F867" s="48" t="s">
        <v>644</v>
      </c>
      <c r="G867" s="88" t="b">
        <f>IF(G610=TRUE,TRUE,FALSE)</f>
        <v>0</v>
      </c>
      <c r="H867" s="34" t="str">
        <f>IF(G867=TRUE,H610,"")</f>
        <v/>
      </c>
      <c r="I867" s="34"/>
      <c r="J867" s="14"/>
    </row>
    <row r="868" hidden="1">
      <c r="A868" s="90" t="str">
        <f>HYPERLINK("https://github.com/pytorch/pytorch/blob/f99ab991dcd3719ee25dd3377a53ea12e518308e/test/torch_np/numpy_tests/lib/test_type_check.py#L349", "TestIsneginf")</f>
        <v>TestIsneginf</v>
      </c>
      <c r="B868" s="91" t="s">
        <v>1057</v>
      </c>
      <c r="C868" s="91"/>
      <c r="D868" s="91" t="s">
        <v>912</v>
      </c>
      <c r="E868" s="92"/>
      <c r="F868" s="48" t="s">
        <v>644</v>
      </c>
      <c r="G868" s="93" t="b">
        <f>IF(G610=TRUE,TRUE,FALSE)</f>
        <v>0</v>
      </c>
      <c r="H868" s="34" t="str">
        <f>IF(G868=TRUE,H610,"")</f>
        <v/>
      </c>
      <c r="I868" s="34"/>
      <c r="J868" s="14"/>
    </row>
    <row r="869" hidden="1">
      <c r="A869" s="85" t="str">
        <f>HYPERLINK("https://github.com/pytorch/pytorch/blob/f99ab991dcd3719ee25dd3377a53ea12e518308e/test/torch_np/numpy_tests/lib/test_type_check.py#L358", "TestNanToNum")</f>
        <v>TestNanToNum</v>
      </c>
      <c r="B869" s="86" t="s">
        <v>1057</v>
      </c>
      <c r="C869" s="86"/>
      <c r="D869" s="86" t="s">
        <v>912</v>
      </c>
      <c r="E869" s="87"/>
      <c r="F869" s="48" t="s">
        <v>644</v>
      </c>
      <c r="G869" s="88" t="b">
        <f>IF(G610=TRUE,TRUE,FALSE)</f>
        <v>0</v>
      </c>
      <c r="H869" s="34" t="str">
        <f>IF(G869=TRUE,H610,"")</f>
        <v/>
      </c>
      <c r="I869" s="34"/>
      <c r="J869" s="14"/>
    </row>
    <row r="870" hidden="1">
      <c r="A870" s="90" t="str">
        <f>HYPERLINK("https://github.com/pytorch/pytorch/blob/f99ab991dcd3719ee25dd3377a53ea12e518308e/test/torch_np/numpy_tests/lib/test_type_check.py#L448", "TestRealIfClose")</f>
        <v>TestRealIfClose</v>
      </c>
      <c r="B870" s="91" t="s">
        <v>1057</v>
      </c>
      <c r="C870" s="91"/>
      <c r="D870" s="91" t="s">
        <v>912</v>
      </c>
      <c r="E870" s="92"/>
      <c r="F870" s="48" t="s">
        <v>644</v>
      </c>
      <c r="G870" s="93" t="b">
        <f>IF(G610=TRUE,TRUE,FALSE)</f>
        <v>0</v>
      </c>
      <c r="H870" s="34" t="str">
        <f>IF(G870=TRUE,H610,"")</f>
        <v/>
      </c>
      <c r="I870" s="34"/>
      <c r="J870" s="14"/>
    </row>
    <row r="871" hidden="1">
      <c r="A871" s="85" t="str">
        <f>HYPERLINK("https://github.com/pytorch/pytorch/blob/f99ab991dcd3719ee25dd3377a53ea12e518308e/test/torch_np/numpy_tests/lib/test_type_check.py#L461", "TestArrayConversion")</f>
        <v>TestArrayConversion</v>
      </c>
      <c r="B871" s="86" t="s">
        <v>1057</v>
      </c>
      <c r="C871" s="86"/>
      <c r="D871" s="86" t="s">
        <v>912</v>
      </c>
      <c r="E871" s="87"/>
      <c r="F871" s="48" t="s">
        <v>644</v>
      </c>
      <c r="G871" s="88" t="b">
        <f>IF(G610=TRUE,TRUE,FALSE)</f>
        <v>0</v>
      </c>
      <c r="H871" s="34" t="str">
        <f>IF(G871=TRUE,H610,"")</f>
        <v/>
      </c>
      <c r="I871" s="34"/>
      <c r="J871" s="14"/>
    </row>
    <row r="872" hidden="1">
      <c r="A872" s="90" t="str">
        <f>HYPERLINK("https://github.com/pytorch/pytorch/blob/f99ab991dcd3719ee25dd3377a53ea12e518308e/test/torch_np/numpy_tests/linalg/test_linalg.py#L403", "LinalgSquareTestCase")</f>
        <v>LinalgSquareTestCase</v>
      </c>
      <c r="B872" s="91" t="s">
        <v>1058</v>
      </c>
      <c r="C872" s="91"/>
      <c r="D872" s="91" t="s">
        <v>912</v>
      </c>
      <c r="E872" s="92"/>
      <c r="F872" s="48" t="s">
        <v>644</v>
      </c>
      <c r="G872" s="93" t="b">
        <f>IF(G610=TRUE,TRUE,FALSE)</f>
        <v>0</v>
      </c>
      <c r="H872" s="34" t="str">
        <f>IF(G872=TRUE,H610,"")</f>
        <v/>
      </c>
      <c r="I872" s="34"/>
      <c r="J872" s="14"/>
    </row>
    <row r="873" hidden="1">
      <c r="A873" s="85" t="str">
        <f>HYPERLINK("https://github.com/pytorch/pytorch/blob/f99ab991dcd3719ee25dd3377a53ea12e518308e/test/torch_np/numpy_tests/linalg/test_linalg.py#L411", "LinalgNonsquareTestCase")</f>
        <v>LinalgNonsquareTestCase</v>
      </c>
      <c r="B873" s="86" t="s">
        <v>1058</v>
      </c>
      <c r="C873" s="86"/>
      <c r="D873" s="86" t="s">
        <v>912</v>
      </c>
      <c r="E873" s="87"/>
      <c r="F873" s="48" t="s">
        <v>644</v>
      </c>
      <c r="G873" s="88" t="b">
        <f>IF(G610=TRUE,TRUE,FALSE)</f>
        <v>0</v>
      </c>
      <c r="H873" s="34" t="str">
        <f>IF(G873=TRUE,H610,"")</f>
        <v/>
      </c>
      <c r="I873" s="34"/>
      <c r="J873" s="14"/>
    </row>
    <row r="874" hidden="1">
      <c r="A874" s="90" t="str">
        <f>HYPERLINK("https://github.com/pytorch/pytorch/blob/f99ab991dcd3719ee25dd3377a53ea12e518308e/test/torch_np/numpy_tests/linalg/test_linalg.py#L419", "HermitianTestCase")</f>
        <v>HermitianTestCase</v>
      </c>
      <c r="B874" s="91" t="s">
        <v>1058</v>
      </c>
      <c r="C874" s="91"/>
      <c r="D874" s="91" t="s">
        <v>912</v>
      </c>
      <c r="E874" s="92"/>
      <c r="F874" s="48" t="s">
        <v>644</v>
      </c>
      <c r="G874" s="93" t="b">
        <f>IF(G610=TRUE,TRUE,FALSE)</f>
        <v>0</v>
      </c>
      <c r="H874" s="34" t="str">
        <f>IF(G874=TRUE,H610,"")</f>
        <v/>
      </c>
      <c r="I874" s="34"/>
      <c r="J874" s="14"/>
    </row>
    <row r="875" hidden="1">
      <c r="A875" s="85" t="str">
        <f>HYPERLINK("https://github.com/pytorch/pytorch/blob/f99ab991dcd3719ee25dd3377a53ea12e518308e/test/torch_np/numpy_tests/linalg/test_linalg.py#L427", "LinalgGeneralizedSquareTestCase")</f>
        <v>LinalgGeneralizedSquareTestCase</v>
      </c>
      <c r="B875" s="86" t="s">
        <v>1058</v>
      </c>
      <c r="C875" s="86"/>
      <c r="D875" s="86" t="s">
        <v>912</v>
      </c>
      <c r="E875" s="87"/>
      <c r="F875" s="48" t="s">
        <v>644</v>
      </c>
      <c r="G875" s="88" t="b">
        <f>IF(G610=TRUE,TRUE,FALSE)</f>
        <v>0</v>
      </c>
      <c r="H875" s="34" t="str">
        <f>IF(G875=TRUE,H610,"")</f>
        <v/>
      </c>
      <c r="I875" s="34"/>
      <c r="J875" s="14"/>
    </row>
    <row r="876" hidden="1">
      <c r="A876" s="90" t="str">
        <f>HYPERLINK("https://github.com/pytorch/pytorch/blob/f99ab991dcd3719ee25dd3377a53ea12e518308e/test/torch_np/numpy_tests/linalg/test_linalg.py#L437", "LinalgGeneralizedNonsquareTestCase")</f>
        <v>LinalgGeneralizedNonsquareTestCase</v>
      </c>
      <c r="B876" s="91" t="s">
        <v>1058</v>
      </c>
      <c r="C876" s="91"/>
      <c r="D876" s="91" t="s">
        <v>912</v>
      </c>
      <c r="E876" s="92"/>
      <c r="F876" s="48" t="s">
        <v>644</v>
      </c>
      <c r="G876" s="93" t="b">
        <f>IF(G610=TRUE,TRUE,FALSE)</f>
        <v>0</v>
      </c>
      <c r="H876" s="34" t="str">
        <f>IF(G876=TRUE,H610,"")</f>
        <v/>
      </c>
      <c r="I876" s="34"/>
      <c r="J876" s="14"/>
    </row>
    <row r="877" hidden="1">
      <c r="A877" s="85" t="str">
        <f>HYPERLINK("https://github.com/pytorch/pytorch/blob/f99ab991dcd3719ee25dd3377a53ea12e518308e/test/torch_np/numpy_tests/linalg/test_linalg.py#L447", "HermitianGeneralizedTestCase")</f>
        <v>HermitianGeneralizedTestCase</v>
      </c>
      <c r="B877" s="86" t="s">
        <v>1058</v>
      </c>
      <c r="C877" s="86"/>
      <c r="D877" s="86" t="s">
        <v>912</v>
      </c>
      <c r="E877" s="87"/>
      <c r="F877" s="48" t="s">
        <v>644</v>
      </c>
      <c r="G877" s="88" t="b">
        <f>IF(G610=TRUE,TRUE,FALSE)</f>
        <v>0</v>
      </c>
      <c r="H877" s="34" t="str">
        <f>IF(G877=TRUE,H610,"")</f>
        <v/>
      </c>
      <c r="I877" s="34"/>
      <c r="J877" s="14"/>
    </row>
    <row r="878" hidden="1">
      <c r="A878" s="90" t="str">
        <f>HYPERLINK("https://github.com/pytorch/pytorch/blob/f99ab991dcd3719ee25dd3377a53ea12e518308e/test/torch_np/numpy_tests/linalg/test_linalg.py#L497", "TestSolve")</f>
        <v>TestSolve</v>
      </c>
      <c r="B878" s="91" t="s">
        <v>1058</v>
      </c>
      <c r="C878" s="91"/>
      <c r="D878" s="91" t="s">
        <v>912</v>
      </c>
      <c r="E878" s="92"/>
      <c r="F878" s="48" t="s">
        <v>644</v>
      </c>
      <c r="G878" s="93" t="b">
        <f>IF(G610=TRUE,TRUE,FALSE)</f>
        <v>0</v>
      </c>
      <c r="H878" s="34" t="str">
        <f>IF(G878=TRUE,H610,"")</f>
        <v/>
      </c>
      <c r="I878" s="34"/>
      <c r="J878" s="14"/>
    </row>
    <row r="879" hidden="1">
      <c r="A879" s="85" t="str">
        <f>HYPERLINK("https://github.com/pytorch/pytorch/blob/f99ab991dcd3719ee25dd3377a53ea12e518308e/test/torch_np/numpy_tests/linalg/test_linalg.py#L567", "TestInv")</f>
        <v>TestInv</v>
      </c>
      <c r="B879" s="86" t="s">
        <v>1058</v>
      </c>
      <c r="C879" s="86"/>
      <c r="D879" s="86" t="s">
        <v>912</v>
      </c>
      <c r="E879" s="87"/>
      <c r="F879" s="48" t="s">
        <v>644</v>
      </c>
      <c r="G879" s="88" t="b">
        <f>IF(G610=TRUE,TRUE,FALSE)</f>
        <v>0</v>
      </c>
      <c r="H879" s="34" t="str">
        <f>IF(G879=TRUE,H610,"")</f>
        <v/>
      </c>
      <c r="I879" s="34"/>
      <c r="J879" s="14"/>
    </row>
    <row r="880" hidden="1">
      <c r="A880" s="90" t="str">
        <f>HYPERLINK("https://github.com/pytorch/pytorch/blob/f99ab991dcd3719ee25dd3377a53ea12e518308e/test/torch_np/numpy_tests/linalg/test_linalg.py#L600", "TestEigvals")</f>
        <v>TestEigvals</v>
      </c>
      <c r="B880" s="91" t="s">
        <v>1058</v>
      </c>
      <c r="C880" s="91"/>
      <c r="D880" s="91" t="s">
        <v>912</v>
      </c>
      <c r="E880" s="92"/>
      <c r="F880" s="48" t="s">
        <v>644</v>
      </c>
      <c r="G880" s="93" t="b">
        <f>IF(G610=TRUE,TRUE,FALSE)</f>
        <v>0</v>
      </c>
      <c r="H880" s="34" t="str">
        <f>IF(G880=TRUE,H610,"")</f>
        <v/>
      </c>
      <c r="I880" s="34"/>
      <c r="J880" s="14"/>
    </row>
    <row r="881" hidden="1">
      <c r="A881" s="85" t="str">
        <f>HYPERLINK("https://github.com/pytorch/pytorch/blob/f99ab991dcd3719ee25dd3377a53ea12e518308e/test/torch_np/numpy_tests/linalg/test_linalg.py#L641", "TestEig")</f>
        <v>TestEig</v>
      </c>
      <c r="B881" s="86" t="s">
        <v>1058</v>
      </c>
      <c r="C881" s="86"/>
      <c r="D881" s="86" t="s">
        <v>912</v>
      </c>
      <c r="E881" s="87"/>
      <c r="F881" s="48" t="s">
        <v>644</v>
      </c>
      <c r="G881" s="88" t="b">
        <f>IF(G610=TRUE,TRUE,FALSE)</f>
        <v>0</v>
      </c>
      <c r="H881" s="34" t="str">
        <f>IF(G881=TRUE,H610,"")</f>
        <v/>
      </c>
      <c r="I881" s="34"/>
      <c r="J881" s="14"/>
    </row>
    <row r="882" hidden="1">
      <c r="A882" s="90" t="str">
        <f>HYPERLINK("https://github.com/pytorch/pytorch/blob/f99ab991dcd3719ee25dd3377a53ea12e518308e/test/torch_np/numpy_tests/linalg/test_linalg.py#L708", "TestSVD")</f>
        <v>TestSVD</v>
      </c>
      <c r="B882" s="91" t="s">
        <v>1058</v>
      </c>
      <c r="C882" s="91"/>
      <c r="D882" s="91" t="s">
        <v>912</v>
      </c>
      <c r="E882" s="92"/>
      <c r="F882" s="48" t="s">
        <v>644</v>
      </c>
      <c r="G882" s="93" t="b">
        <f>IF(G610=TRUE,TRUE,FALSE)</f>
        <v>0</v>
      </c>
      <c r="H882" s="34" t="str">
        <f>IF(G882=TRUE,H610,"")</f>
        <v/>
      </c>
      <c r="I882" s="34"/>
      <c r="J882" s="14"/>
    </row>
    <row r="883" hidden="1">
      <c r="A883" s="85" t="str">
        <f>HYPERLINK("https://github.com/pytorch/pytorch/blob/f99ab991dcd3719ee25dd3377a53ea12e518308e/test/torch_np/numpy_tests/linalg/test_linalg.py#L752", "TestSVDHermitian")</f>
        <v>TestSVDHermitian</v>
      </c>
      <c r="B883" s="86" t="s">
        <v>1058</v>
      </c>
      <c r="C883" s="86"/>
      <c r="D883" s="86" t="s">
        <v>912</v>
      </c>
      <c r="E883" s="87"/>
      <c r="F883" s="48" t="s">
        <v>644</v>
      </c>
      <c r="G883" s="88" t="b">
        <f>IF(G610=TRUE,TRUE,FALSE)</f>
        <v>0</v>
      </c>
      <c r="H883" s="34" t="str">
        <f>IF(G883=TRUE,H610,"")</f>
        <v/>
      </c>
      <c r="I883" s="34"/>
      <c r="J883" s="14"/>
    </row>
    <row r="884" hidden="1">
      <c r="A884" s="90" t="str">
        <f>HYPERLINK("https://github.com/pytorch/pytorch/blob/f99ab991dcd3719ee25dd3377a53ea12e518308e/test/torch_np/numpy_tests/linalg/test_linalg.py#L817", "TestCond")</f>
        <v>TestCond</v>
      </c>
      <c r="B884" s="91" t="s">
        <v>1058</v>
      </c>
      <c r="C884" s="91"/>
      <c r="D884" s="91" t="s">
        <v>912</v>
      </c>
      <c r="E884" s="92"/>
      <c r="F884" s="48" t="s">
        <v>644</v>
      </c>
      <c r="G884" s="93" t="b">
        <f>IF(G610=TRUE,TRUE,FALSE)</f>
        <v>0</v>
      </c>
      <c r="H884" s="34" t="str">
        <f>IF(G884=TRUE,H610,"")</f>
        <v/>
      </c>
      <c r="I884" s="34"/>
      <c r="J884" s="14"/>
    </row>
    <row r="885" hidden="1">
      <c r="A885" s="85" t="str">
        <f>HYPERLINK("https://github.com/pytorch/pytorch/blob/f99ab991dcd3719ee25dd3377a53ea12e518308e/test/torch_np/numpy_tests/linalg/test_linalg.py#L900", "TestPinv")</f>
        <v>TestPinv</v>
      </c>
      <c r="B885" s="86" t="s">
        <v>1058</v>
      </c>
      <c r="C885" s="86"/>
      <c r="D885" s="86" t="s">
        <v>912</v>
      </c>
      <c r="E885" s="87"/>
      <c r="F885" s="48" t="s">
        <v>644</v>
      </c>
      <c r="G885" s="88" t="b">
        <f>IF(G610=TRUE,TRUE,FALSE)</f>
        <v>0</v>
      </c>
      <c r="H885" s="34" t="str">
        <f>IF(G885=TRUE,H610,"")</f>
        <v/>
      </c>
      <c r="I885" s="34"/>
      <c r="J885" s="14"/>
    </row>
    <row r="886" hidden="1">
      <c r="A886" s="90" t="str">
        <f>HYPERLINK("https://github.com/pytorch/pytorch/blob/f99ab991dcd3719ee25dd3377a53ea12e518308e/test/torch_np/numpy_tests/linalg/test_linalg.py#L915", "TestPinvHermitian")</f>
        <v>TestPinvHermitian</v>
      </c>
      <c r="B886" s="91" t="s">
        <v>1058</v>
      </c>
      <c r="C886" s="91"/>
      <c r="D886" s="91" t="s">
        <v>912</v>
      </c>
      <c r="E886" s="92"/>
      <c r="F886" s="48" t="s">
        <v>644</v>
      </c>
      <c r="G886" s="93" t="b">
        <f>IF(G610=TRUE,TRUE,FALSE)</f>
        <v>0</v>
      </c>
      <c r="H886" s="34" t="str">
        <f>IF(G886=TRUE,H610,"")</f>
        <v/>
      </c>
      <c r="I886" s="34"/>
      <c r="J886" s="14"/>
    </row>
    <row r="887" hidden="1">
      <c r="A887" s="85" t="str">
        <f>HYPERLINK("https://github.com/pytorch/pytorch/blob/f99ab991dcd3719ee25dd3377a53ea12e518308e/test/torch_np/numpy_tests/linalg/test_linalg.py#L939", "TestDet")</f>
        <v>TestDet</v>
      </c>
      <c r="B887" s="86" t="s">
        <v>1058</v>
      </c>
      <c r="C887" s="86"/>
      <c r="D887" s="86" t="s">
        <v>912</v>
      </c>
      <c r="E887" s="87"/>
      <c r="F887" s="48" t="s">
        <v>644</v>
      </c>
      <c r="G887" s="88" t="b">
        <f>IF(G610=TRUE,TRUE,FALSE)</f>
        <v>0</v>
      </c>
      <c r="H887" s="34" t="str">
        <f>IF(G887=TRUE,H610,"")</f>
        <v/>
      </c>
      <c r="I887" s="34"/>
      <c r="J887" s="14"/>
    </row>
    <row r="888" hidden="1">
      <c r="A888" s="90" t="str">
        <f>HYPERLINK("https://github.com/pytorch/pytorch/blob/f99ab991dcd3719ee25dd3377a53ea12e518308e/test/torch_np/numpy_tests/linalg/test_linalg.py#L1014", "TestLstsq")</f>
        <v>TestLstsq</v>
      </c>
      <c r="B888" s="91" t="s">
        <v>1058</v>
      </c>
      <c r="C888" s="91"/>
      <c r="D888" s="91" t="s">
        <v>912</v>
      </c>
      <c r="E888" s="92"/>
      <c r="F888" s="48" t="s">
        <v>644</v>
      </c>
      <c r="G888" s="93" t="b">
        <f>IF(G610=TRUE,TRUE,FALSE)</f>
        <v>0</v>
      </c>
      <c r="H888" s="34" t="str">
        <f>IF(G888=TRUE,H610,"")</f>
        <v/>
      </c>
      <c r="I888" s="34"/>
      <c r="J888" s="14"/>
    </row>
    <row r="889" hidden="1">
      <c r="A889" s="85" t="str">
        <f>HYPERLINK("https://github.com/pytorch/pytorch/blob/f99ab991dcd3719ee25dd3377a53ea12e518308e/test/torch_np/numpy_tests/linalg/test_linalg.py#L1078", "TestMatrixPower")</f>
        <v>TestMatrixPower</v>
      </c>
      <c r="B889" s="86" t="s">
        <v>1058</v>
      </c>
      <c r="C889" s="86"/>
      <c r="D889" s="86" t="s">
        <v>912</v>
      </c>
      <c r="E889" s="87"/>
      <c r="F889" s="48" t="s">
        <v>644</v>
      </c>
      <c r="G889" s="88" t="b">
        <f>IF(G610=TRUE,TRUE,FALSE)</f>
        <v>0</v>
      </c>
      <c r="H889" s="34" t="str">
        <f>IF(G889=TRUE,H610,"")</f>
        <v/>
      </c>
      <c r="I889" s="34"/>
      <c r="J889" s="14"/>
    </row>
    <row r="890" hidden="1">
      <c r="A890" s="90" t="str">
        <f>HYPERLINK("https://github.com/pytorch/pytorch/blob/f99ab991dcd3719ee25dd3377a53ea12e518308e/test/torch_np/numpy_tests/linalg/test_linalg.py#L1167", "TestEigvalshCases")</f>
        <v>TestEigvalshCases</v>
      </c>
      <c r="B890" s="91" t="s">
        <v>1058</v>
      </c>
      <c r="C890" s="91"/>
      <c r="D890" s="91" t="s">
        <v>912</v>
      </c>
      <c r="E890" s="92"/>
      <c r="F890" s="48" t="s">
        <v>644</v>
      </c>
      <c r="G890" s="93" t="b">
        <f>IF(G610=TRUE,TRUE,FALSE)</f>
        <v>0</v>
      </c>
      <c r="H890" s="34" t="str">
        <f>IF(G890=TRUE,H610,"")</f>
        <v/>
      </c>
      <c r="I890" s="34"/>
      <c r="J890" s="14"/>
    </row>
    <row r="891" hidden="1">
      <c r="A891" s="85" t="str">
        <f>HYPERLINK("https://github.com/pytorch/pytorch/blob/f99ab991dcd3719ee25dd3377a53ea12e518308e/test/torch_np/numpy_tests/linalg/test_linalg.py#L1182", "TestEigvalsh")</f>
        <v>TestEigvalsh</v>
      </c>
      <c r="B891" s="86" t="s">
        <v>1058</v>
      </c>
      <c r="C891" s="86"/>
      <c r="D891" s="86" t="s">
        <v>912</v>
      </c>
      <c r="E891" s="87"/>
      <c r="F891" s="48" t="s">
        <v>644</v>
      </c>
      <c r="G891" s="88" t="b">
        <f>IF(G610=TRUE,TRUE,FALSE)</f>
        <v>0</v>
      </c>
      <c r="H891" s="34" t="str">
        <f>IF(G891=TRUE,H610,"")</f>
        <v/>
      </c>
      <c r="I891" s="34"/>
      <c r="J891" s="14"/>
    </row>
    <row r="892" hidden="1">
      <c r="A892" s="90" t="str">
        <f>HYPERLINK("https://github.com/pytorch/pytorch/blob/f99ab991dcd3719ee25dd3377a53ea12e518308e/test/torch_np/numpy_tests/linalg/test_linalg.py#L1236", "TestEighCases")</f>
        <v>TestEighCases</v>
      </c>
      <c r="B892" s="91" t="s">
        <v>1058</v>
      </c>
      <c r="C892" s="91"/>
      <c r="D892" s="91" t="s">
        <v>912</v>
      </c>
      <c r="E892" s="92"/>
      <c r="F892" s="48" t="s">
        <v>644</v>
      </c>
      <c r="G892" s="93" t="b">
        <f>IF(G610=TRUE,TRUE,FALSE)</f>
        <v>0</v>
      </c>
      <c r="H892" s="34" t="str">
        <f>IF(G892=TRUE,H610,"")</f>
        <v/>
      </c>
      <c r="I892" s="34"/>
      <c r="J892" s="14"/>
    </row>
    <row r="893" hidden="1">
      <c r="A893" s="85" t="str">
        <f>HYPERLINK("https://github.com/pytorch/pytorch/blob/f99ab991dcd3719ee25dd3377a53ea12e518308e/test/torch_np/numpy_tests/linalg/test_linalg.py#L1264", "TestEigh")</f>
        <v>TestEigh</v>
      </c>
      <c r="B893" s="86" t="s">
        <v>1058</v>
      </c>
      <c r="C893" s="86"/>
      <c r="D893" s="86" t="s">
        <v>912</v>
      </c>
      <c r="E893" s="87"/>
      <c r="F893" s="48" t="s">
        <v>644</v>
      </c>
      <c r="G893" s="88" t="b">
        <f>IF(G610=TRUE,TRUE,FALSE)</f>
        <v>0</v>
      </c>
      <c r="H893" s="34" t="str">
        <f>IF(G893=TRUE,H610,"")</f>
        <v/>
      </c>
      <c r="I893" s="34"/>
      <c r="J893" s="14"/>
    </row>
    <row r="894" hidden="1">
      <c r="A894" s="90" t="str">
        <f>HYPERLINK("https://github.com/pytorch/pytorch/blob/f99ab991dcd3719ee25dd3377a53ea12e518308e/test/torch_np/numpy_tests/linalg/test_linalg.py#L1336", "_TestNormGeneral")</f>
        <v>_TestNormGeneral</v>
      </c>
      <c r="B894" s="91" t="s">
        <v>1058</v>
      </c>
      <c r="C894" s="91"/>
      <c r="D894" s="91" t="s">
        <v>912</v>
      </c>
      <c r="E894" s="92"/>
      <c r="F894" s="48" t="s">
        <v>644</v>
      </c>
      <c r="G894" s="93" t="b">
        <f>IF(G610=TRUE,TRUE,FALSE)</f>
        <v>0</v>
      </c>
      <c r="H894" s="34" t="str">
        <f>IF(G894=TRUE,H610,"")</f>
        <v/>
      </c>
      <c r="I894" s="34"/>
      <c r="J894" s="14"/>
    </row>
    <row r="895" hidden="1">
      <c r="A895" s="85" t="str">
        <f>HYPERLINK("https://github.com/pytorch/pytorch/blob/f99ab991dcd3719ee25dd3377a53ea12e518308e/test/torch_np/numpy_tests/linalg/test_linalg.py#L1514", "_TestNorm2D")</f>
        <v>_TestNorm2D</v>
      </c>
      <c r="B895" s="86" t="s">
        <v>1058</v>
      </c>
      <c r="C895" s="86"/>
      <c r="D895" s="86" t="s">
        <v>912</v>
      </c>
      <c r="E895" s="87"/>
      <c r="F895" s="48" t="s">
        <v>644</v>
      </c>
      <c r="G895" s="88" t="b">
        <f>IF(G610=TRUE,TRUE,FALSE)</f>
        <v>0</v>
      </c>
      <c r="H895" s="34" t="str">
        <f>IF(G895=TRUE,H610,"")</f>
        <v/>
      </c>
      <c r="I895" s="34"/>
      <c r="J895" s="14"/>
    </row>
    <row r="896" hidden="1">
      <c r="A896" s="90" t="str">
        <f>HYPERLINK("https://github.com/pytorch/pytorch/blob/f99ab991dcd3719ee25dd3377a53ea12e518308e/test/torch_np/numpy_tests/linalg/test_linalg.py#L1632", "_TestNorm")</f>
        <v>_TestNorm</v>
      </c>
      <c r="B896" s="91" t="s">
        <v>1058</v>
      </c>
      <c r="C896" s="91"/>
      <c r="D896" s="91" t="s">
        <v>912</v>
      </c>
      <c r="E896" s="92"/>
      <c r="F896" s="48" t="s">
        <v>644</v>
      </c>
      <c r="G896" s="93" t="b">
        <f>IF(G610=TRUE,TRUE,FALSE)</f>
        <v>0</v>
      </c>
      <c r="H896" s="34" t="str">
        <f>IF(G896=TRUE,H610,"")</f>
        <v/>
      </c>
      <c r="I896" s="34"/>
      <c r="J896" s="14"/>
    </row>
    <row r="897" hidden="1">
      <c r="A897" s="85" t="str">
        <f>HYPERLINK("https://github.com/pytorch/pytorch/blob/f99ab991dcd3719ee25dd3377a53ea12e518308e/test/torch_np/numpy_tests/linalg/test_linalg.py#L1636", "TestNorm_NonSystematic")</f>
        <v>TestNorm_NonSystematic</v>
      </c>
      <c r="B897" s="86" t="s">
        <v>1058</v>
      </c>
      <c r="C897" s="86"/>
      <c r="D897" s="86" t="s">
        <v>912</v>
      </c>
      <c r="E897" s="87"/>
      <c r="F897" s="48" t="s">
        <v>644</v>
      </c>
      <c r="G897" s="88" t="b">
        <f>IF(G610=TRUE,TRUE,FALSE)</f>
        <v>0</v>
      </c>
      <c r="H897" s="34" t="str">
        <f>IF(G897=TRUE,H610,"")</f>
        <v/>
      </c>
      <c r="I897" s="34"/>
      <c r="J897" s="14"/>
    </row>
    <row r="898" hidden="1">
      <c r="A898" s="90" t="str">
        <f>HYPERLINK("https://github.com/pytorch/pytorch/blob/f99ab991dcd3719ee25dd3377a53ea12e518308e/test/torch_np/numpy_tests/linalg/test_linalg.py#L1645", "_TestNormDoubleBase")</f>
        <v>_TestNormDoubleBase</v>
      </c>
      <c r="B898" s="91" t="s">
        <v>1058</v>
      </c>
      <c r="C898" s="91"/>
      <c r="D898" s="91" t="s">
        <v>912</v>
      </c>
      <c r="E898" s="92"/>
      <c r="F898" s="48" t="s">
        <v>644</v>
      </c>
      <c r="G898" s="93" t="b">
        <f>IF(G610=TRUE,TRUE,FALSE)</f>
        <v>0</v>
      </c>
      <c r="H898" s="34" t="str">
        <f>IF(G898=TRUE,H610,"")</f>
        <v/>
      </c>
      <c r="I898" s="34"/>
      <c r="J898" s="14"/>
    </row>
    <row r="899" hidden="1">
      <c r="A899" s="85" t="str">
        <f>HYPERLINK("https://github.com/pytorch/pytorch/blob/f99ab991dcd3719ee25dd3377a53ea12e518308e/test/torch_np/numpy_tests/linalg/test_linalg.py#L1650", "_TestNormSingleBase")</f>
        <v>_TestNormSingleBase</v>
      </c>
      <c r="B899" s="86" t="s">
        <v>1058</v>
      </c>
      <c r="C899" s="86"/>
      <c r="D899" s="86" t="s">
        <v>912</v>
      </c>
      <c r="E899" s="87"/>
      <c r="F899" s="48" t="s">
        <v>644</v>
      </c>
      <c r="G899" s="88" t="b">
        <f>IF(G610=TRUE,TRUE,FALSE)</f>
        <v>0</v>
      </c>
      <c r="H899" s="34" t="str">
        <f>IF(G899=TRUE,H610,"")</f>
        <v/>
      </c>
      <c r="I899" s="34"/>
      <c r="J899" s="14"/>
    </row>
    <row r="900" hidden="1">
      <c r="A900" s="90" t="str">
        <f>HYPERLINK("https://github.com/pytorch/pytorch/blob/f99ab991dcd3719ee25dd3377a53ea12e518308e/test/torch_np/numpy_tests/linalg/test_linalg.py#L1655", "_TestNormInt64Base")</f>
        <v>_TestNormInt64Base</v>
      </c>
      <c r="B900" s="91" t="s">
        <v>1058</v>
      </c>
      <c r="C900" s="91"/>
      <c r="D900" s="91" t="s">
        <v>912</v>
      </c>
      <c r="E900" s="92"/>
      <c r="F900" s="48" t="s">
        <v>644</v>
      </c>
      <c r="G900" s="93" t="b">
        <f>IF(G610=TRUE,TRUE,FALSE)</f>
        <v>0</v>
      </c>
      <c r="H900" s="34" t="str">
        <f>IF(G900=TRUE,H610,"")</f>
        <v/>
      </c>
      <c r="I900" s="34"/>
      <c r="J900" s="14"/>
    </row>
    <row r="901" hidden="1">
      <c r="A901" s="85" t="str">
        <f>HYPERLINK("https://github.com/pytorch/pytorch/blob/f99ab991dcd3719ee25dd3377a53ea12e518308e/test/torch_np/numpy_tests/linalg/test_linalg.py#L1660", "TestNormDouble")</f>
        <v>TestNormDouble</v>
      </c>
      <c r="B901" s="86" t="s">
        <v>1058</v>
      </c>
      <c r="C901" s="86"/>
      <c r="D901" s="86" t="s">
        <v>912</v>
      </c>
      <c r="E901" s="87"/>
      <c r="F901" s="48" t="s">
        <v>644</v>
      </c>
      <c r="G901" s="88" t="b">
        <f>IF(G610=TRUE,TRUE,FALSE)</f>
        <v>0</v>
      </c>
      <c r="H901" s="34" t="str">
        <f>IF(G901=TRUE,H610,"")</f>
        <v/>
      </c>
      <c r="I901" s="34"/>
      <c r="J901" s="14"/>
    </row>
    <row r="902" hidden="1">
      <c r="A902" s="90" t="str">
        <f>HYPERLINK("https://github.com/pytorch/pytorch/blob/f99ab991dcd3719ee25dd3377a53ea12e518308e/test/torch_np/numpy_tests/linalg/test_linalg.py#L1664", "TestNormSingle")</f>
        <v>TestNormSingle</v>
      </c>
      <c r="B902" s="91" t="s">
        <v>1058</v>
      </c>
      <c r="C902" s="91"/>
      <c r="D902" s="91" t="s">
        <v>912</v>
      </c>
      <c r="E902" s="92"/>
      <c r="F902" s="48" t="s">
        <v>644</v>
      </c>
      <c r="G902" s="93" t="b">
        <f>IF(G610=TRUE,TRUE,FALSE)</f>
        <v>0</v>
      </c>
      <c r="H902" s="34" t="str">
        <f>IF(G902=TRUE,H610,"")</f>
        <v/>
      </c>
      <c r="I902" s="34"/>
      <c r="J902" s="14"/>
    </row>
    <row r="903" hidden="1">
      <c r="A903" s="85" t="str">
        <f>HYPERLINK("https://github.com/pytorch/pytorch/blob/f99ab991dcd3719ee25dd3377a53ea12e518308e/test/torch_np/numpy_tests/linalg/test_linalg.py#L1668", "TestNormInt64")</f>
        <v>TestNormInt64</v>
      </c>
      <c r="B903" s="86" t="s">
        <v>1058</v>
      </c>
      <c r="C903" s="86"/>
      <c r="D903" s="86" t="s">
        <v>912</v>
      </c>
      <c r="E903" s="87"/>
      <c r="F903" s="48" t="s">
        <v>644</v>
      </c>
      <c r="G903" s="88" t="b">
        <f>IF(G610=TRUE,TRUE,FALSE)</f>
        <v>0</v>
      </c>
      <c r="H903" s="34" t="str">
        <f>IF(G903=TRUE,H610,"")</f>
        <v/>
      </c>
      <c r="I903" s="34"/>
      <c r="J903" s="14"/>
    </row>
    <row r="904" hidden="1">
      <c r="A904" s="90" t="str">
        <f>HYPERLINK("https://github.com/pytorch/pytorch/blob/f99ab991dcd3719ee25dd3377a53ea12e518308e/test/torch_np/numpy_tests/linalg/test_linalg.py#L1672", "TestMatrixRank")</f>
        <v>TestMatrixRank</v>
      </c>
      <c r="B904" s="91" t="s">
        <v>1058</v>
      </c>
      <c r="C904" s="91"/>
      <c r="D904" s="91" t="s">
        <v>912</v>
      </c>
      <c r="E904" s="92"/>
      <c r="F904" s="48" t="s">
        <v>644</v>
      </c>
      <c r="G904" s="93" t="b">
        <f>IF(G610=TRUE,TRUE,FALSE)</f>
        <v>0</v>
      </c>
      <c r="H904" s="34" t="str">
        <f>IF(G904=TRUE,H610,"")</f>
        <v/>
      </c>
      <c r="I904" s="34"/>
      <c r="J904" s="14"/>
    </row>
    <row r="905" hidden="1">
      <c r="A905" s="85" t="str">
        <f>HYPERLINK("https://github.com/pytorch/pytorch/blob/f99ab991dcd3719ee25dd3377a53ea12e518308e/test/torch_np/numpy_tests/linalg/test_linalg.py#L1721", "TestQR")</f>
        <v>TestQR</v>
      </c>
      <c r="B905" s="86" t="s">
        <v>1058</v>
      </c>
      <c r="C905" s="86"/>
      <c r="D905" s="86" t="s">
        <v>912</v>
      </c>
      <c r="E905" s="87"/>
      <c r="F905" s="48" t="s">
        <v>644</v>
      </c>
      <c r="G905" s="88" t="b">
        <f>IF(G610=TRUE,TRUE,FALSE)</f>
        <v>0</v>
      </c>
      <c r="H905" s="34" t="str">
        <f>IF(G905=TRUE,H610,"")</f>
        <v/>
      </c>
      <c r="I905" s="34"/>
      <c r="J905" s="14"/>
    </row>
    <row r="906" hidden="1">
      <c r="A906" s="90" t="str">
        <f>HYPERLINK("https://github.com/pytorch/pytorch/blob/f99ab991dcd3719ee25dd3377a53ea12e518308e/test/torch_np/numpy_tests/linalg/test_linalg.py#L1868", "TestCholesky")</f>
        <v>TestCholesky</v>
      </c>
      <c r="B906" s="91" t="s">
        <v>1058</v>
      </c>
      <c r="C906" s="91"/>
      <c r="D906" s="91" t="s">
        <v>912</v>
      </c>
      <c r="E906" s="92"/>
      <c r="F906" s="48" t="s">
        <v>644</v>
      </c>
      <c r="G906" s="93" t="b">
        <f>IF(G610=TRUE,TRUE,FALSE)</f>
        <v>0</v>
      </c>
      <c r="H906" s="34" t="str">
        <f>IF(G906=TRUE,H610,"")</f>
        <v/>
      </c>
      <c r="I906" s="34"/>
      <c r="J906" s="14"/>
    </row>
    <row r="907" hidden="1">
      <c r="A907" s="85" t="str">
        <f>HYPERLINK("https://github.com/pytorch/pytorch/blob/f99ab991dcd3719ee25dd3377a53ea12e518308e/test/torch_np/numpy_tests/linalg/test_linalg.py#L1909", "TestMisc")</f>
        <v>TestMisc</v>
      </c>
      <c r="B907" s="86" t="s">
        <v>1058</v>
      </c>
      <c r="C907" s="86"/>
      <c r="D907" s="86" t="s">
        <v>912</v>
      </c>
      <c r="E907" s="87"/>
      <c r="F907" s="48" t="s">
        <v>644</v>
      </c>
      <c r="G907" s="88" t="b">
        <f>IF(G610=TRUE,TRUE,FALSE)</f>
        <v>0</v>
      </c>
      <c r="H907" s="34" t="str">
        <f>IF(G907=TRUE,H610,"")</f>
        <v/>
      </c>
      <c r="I907" s="34"/>
      <c r="J907" s="14"/>
    </row>
    <row r="908" hidden="1">
      <c r="A908" s="90" t="str">
        <f>HYPERLINK("https://github.com/pytorch/pytorch/blob/f99ab991dcd3719ee25dd3377a53ea12e518308e/test/torch_np/numpy_tests/linalg/test_linalg.py#L2033", "TestMultiDot")</f>
        <v>TestMultiDot</v>
      </c>
      <c r="B908" s="91" t="s">
        <v>1058</v>
      </c>
      <c r="C908" s="91"/>
      <c r="D908" s="91" t="s">
        <v>912</v>
      </c>
      <c r="E908" s="92"/>
      <c r="F908" s="48" t="s">
        <v>644</v>
      </c>
      <c r="G908" s="93" t="b">
        <f>IF(G610=TRUE,TRUE,FALSE)</f>
        <v>0</v>
      </c>
      <c r="H908" s="34" t="str">
        <f>IF(G908=TRUE,H610,"")</f>
        <v/>
      </c>
      <c r="I908" s="34"/>
      <c r="J908" s="14"/>
    </row>
    <row r="909" hidden="1">
      <c r="A909" s="85" t="str">
        <f>HYPERLINK("https://github.com/pytorch/pytorch/blob/f99ab991dcd3719ee25dd3377a53ea12e518308e/test/torch_np/numpy_tests/linalg/test_linalg.py#L2175", "TestTensorinv")</f>
        <v>TestTensorinv</v>
      </c>
      <c r="B909" s="86" t="s">
        <v>1058</v>
      </c>
      <c r="C909" s="86"/>
      <c r="D909" s="86" t="s">
        <v>912</v>
      </c>
      <c r="E909" s="87"/>
      <c r="F909" s="48" t="s">
        <v>644</v>
      </c>
      <c r="G909" s="88" t="b">
        <f>IF(G610=TRUE,TRUE,FALSE)</f>
        <v>0</v>
      </c>
      <c r="H909" s="34" t="str">
        <f>IF(G909=TRUE,H610,"")</f>
        <v/>
      </c>
      <c r="I909" s="34"/>
      <c r="J909" s="14"/>
    </row>
    <row r="910" hidden="1">
      <c r="A910" s="90" t="str">
        <f>HYPERLINK("https://github.com/pytorch/pytorch/blob/f99ab991dcd3719ee25dd3377a53ea12e518308e/test/torch_np/numpy_tests/linalg/test_linalg.py#L2223", "TestTensorsolve")</f>
        <v>TestTensorsolve</v>
      </c>
      <c r="B910" s="91" t="s">
        <v>1058</v>
      </c>
      <c r="C910" s="91"/>
      <c r="D910" s="91" t="s">
        <v>912</v>
      </c>
      <c r="E910" s="92"/>
      <c r="F910" s="48" t="s">
        <v>644</v>
      </c>
      <c r="G910" s="93" t="b">
        <f>IF(G610=TRUE,TRUE,FALSE)</f>
        <v>0</v>
      </c>
      <c r="H910" s="34" t="str">
        <f>IF(G910=TRUE,H610,"")</f>
        <v/>
      </c>
      <c r="I910" s="34"/>
      <c r="J910" s="14"/>
    </row>
    <row r="911" hidden="1">
      <c r="A911" s="85" t="str">
        <f>HYPERLINK("https://github.com/pytorch/pytorch/blob/f99ab991dcd3719ee25dd3377a53ea12e518308e/test/torch_np/numpy_tests/linalg/test_linalg.py#L2248", "TestMisc2")</f>
        <v>TestMisc2</v>
      </c>
      <c r="B911" s="86" t="s">
        <v>1058</v>
      </c>
      <c r="C911" s="86"/>
      <c r="D911" s="86" t="s">
        <v>912</v>
      </c>
      <c r="E911" s="87"/>
      <c r="F911" s="48" t="s">
        <v>644</v>
      </c>
      <c r="G911" s="88" t="b">
        <f>IF(G610=TRUE,TRUE,FALSE)</f>
        <v>0</v>
      </c>
      <c r="H911" s="34" t="str">
        <f>IF(G911=TRUE,H610,"")</f>
        <v/>
      </c>
      <c r="I911" s="34"/>
      <c r="J911" s="14"/>
    </row>
    <row r="912" hidden="1">
      <c r="A912" s="90" t="str">
        <f>HYPERLINK("https://github.com/pytorch/pytorch/blob/f99ab991dcd3719ee25dd3377a53ea12e518308e/test/torch_np/test_basic.py#L67", "TestOneArr")</f>
        <v>TestOneArr</v>
      </c>
      <c r="B912" s="91" t="s">
        <v>1059</v>
      </c>
      <c r="C912" s="91"/>
      <c r="D912" s="91" t="s">
        <v>912</v>
      </c>
      <c r="E912" s="92"/>
      <c r="F912" s="48" t="s">
        <v>644</v>
      </c>
      <c r="G912" s="93" t="b">
        <f>IF(G610=TRUE,TRUE,FALSE)</f>
        <v>0</v>
      </c>
      <c r="H912" s="34" t="str">
        <f>IF(G912=TRUE,H610,"")</f>
        <v/>
      </c>
      <c r="I912" s="34"/>
      <c r="J912" s="14"/>
    </row>
    <row r="913" hidden="1">
      <c r="A913" s="85" t="str">
        <f>HYPERLINK("https://github.com/pytorch/pytorch/blob/f99ab991dcd3719ee25dd3377a53ea12e518308e/test/torch_np/test_basic.py#L114", "TestOneArrAndAxis")</f>
        <v>TestOneArrAndAxis</v>
      </c>
      <c r="B913" s="86" t="s">
        <v>1059</v>
      </c>
      <c r="C913" s="86"/>
      <c r="D913" s="86" t="s">
        <v>912</v>
      </c>
      <c r="E913" s="87"/>
      <c r="F913" s="48" t="s">
        <v>644</v>
      </c>
      <c r="G913" s="88" t="b">
        <f>IF(G610=TRUE,TRUE,FALSE)</f>
        <v>0</v>
      </c>
      <c r="H913" s="34" t="str">
        <f>IF(G913=TRUE,H610,"")</f>
        <v/>
      </c>
      <c r="I913" s="34"/>
      <c r="J913" s="14"/>
    </row>
    <row r="914" hidden="1">
      <c r="A914" s="90" t="str">
        <f>HYPERLINK("https://github.com/pytorch/pytorch/blob/f99ab991dcd3719ee25dd3377a53ea12e518308e/test/torch_np/test_basic.py#L141", "TestOneArrAndAxesTuple")</f>
        <v>TestOneArrAndAxesTuple</v>
      </c>
      <c r="B914" s="91" t="s">
        <v>1059</v>
      </c>
      <c r="C914" s="91"/>
      <c r="D914" s="91" t="s">
        <v>912</v>
      </c>
      <c r="E914" s="92"/>
      <c r="F914" s="48" t="s">
        <v>644</v>
      </c>
      <c r="G914" s="93" t="b">
        <f>IF(G610=TRUE,TRUE,FALSE)</f>
        <v>0</v>
      </c>
      <c r="H914" s="34" t="str">
        <f>IF(G914=TRUE,H610,"")</f>
        <v/>
      </c>
      <c r="I914" s="34"/>
      <c r="J914" s="14"/>
    </row>
    <row r="915" hidden="1">
      <c r="A915" s="85" t="str">
        <f>HYPERLINK("https://github.com/pytorch/pytorch/blob/f99ab991dcd3719ee25dd3377a53ea12e518308e/test/torch_np/test_basic.py#L192", "TestOneArrAndShape")</f>
        <v>TestOneArrAndShape</v>
      </c>
      <c r="B915" s="86" t="s">
        <v>1059</v>
      </c>
      <c r="C915" s="86"/>
      <c r="D915" s="86" t="s">
        <v>912</v>
      </c>
      <c r="E915" s="87"/>
      <c r="F915" s="48" t="s">
        <v>644</v>
      </c>
      <c r="G915" s="88" t="b">
        <f>IF(G610=TRUE,TRUE,FALSE)</f>
        <v>0</v>
      </c>
      <c r="H915" s="34" t="str">
        <f>IF(G915=TRUE,H610,"")</f>
        <v/>
      </c>
      <c r="I915" s="34"/>
      <c r="J915" s="14"/>
    </row>
    <row r="916" hidden="1">
      <c r="A916" s="90" t="str">
        <f>HYPERLINK("https://github.com/pytorch/pytorch/blob/f99ab991dcd3719ee25dd3377a53ea12e518308e/test/torch_np/test_basic.py#L239", "TestOneArrToScalar")</f>
        <v>TestOneArrToScalar</v>
      </c>
      <c r="B916" s="91" t="s">
        <v>1059</v>
      </c>
      <c r="C916" s="91"/>
      <c r="D916" s="91" t="s">
        <v>912</v>
      </c>
      <c r="E916" s="92"/>
      <c r="F916" s="48" t="s">
        <v>644</v>
      </c>
      <c r="G916" s="93" t="b">
        <f>IF(G610=TRUE,TRUE,FALSE)</f>
        <v>0</v>
      </c>
      <c r="H916" s="34" t="str">
        <f>IF(G916=TRUE,H610,"")</f>
        <v/>
      </c>
      <c r="I916" s="34"/>
      <c r="J916" s="14"/>
    </row>
    <row r="917" hidden="1">
      <c r="A917" s="85" t="str">
        <f>HYPERLINK("https://github.com/pytorch/pytorch/blob/f99ab991dcd3719ee25dd3377a53ea12e518308e/test/torch_np/test_basic.py#L280", "TestShapeLikeToArray")</f>
        <v>TestShapeLikeToArray</v>
      </c>
      <c r="B917" s="86" t="s">
        <v>1059</v>
      </c>
      <c r="C917" s="86"/>
      <c r="D917" s="86" t="s">
        <v>912</v>
      </c>
      <c r="E917" s="87"/>
      <c r="F917" s="48" t="s">
        <v>644</v>
      </c>
      <c r="G917" s="88" t="b">
        <f>IF(G610=TRUE,TRUE,FALSE)</f>
        <v>0</v>
      </c>
      <c r="H917" s="34" t="str">
        <f>IF(G917=TRUE,H610,"")</f>
        <v/>
      </c>
      <c r="I917" s="34"/>
      <c r="J917" s="14"/>
    </row>
    <row r="918" hidden="1">
      <c r="A918" s="90" t="str">
        <f>HYPERLINK("https://github.com/pytorch/pytorch/blob/f99ab991dcd3719ee25dd3377a53ea12e518308e/test/torch_np/test_basic.py#L299", "TestSequenceOfArrays")</f>
        <v>TestSequenceOfArrays</v>
      </c>
      <c r="B918" s="91" t="s">
        <v>1059</v>
      </c>
      <c r="C918" s="91"/>
      <c r="D918" s="91" t="s">
        <v>912</v>
      </c>
      <c r="E918" s="92"/>
      <c r="F918" s="48" t="s">
        <v>644</v>
      </c>
      <c r="G918" s="93" t="b">
        <f>IF(G610=TRUE,TRUE,FALSE)</f>
        <v>0</v>
      </c>
      <c r="H918" s="34" t="str">
        <f>IF(G918=TRUE,H610,"")</f>
        <v/>
      </c>
      <c r="I918" s="34"/>
      <c r="J918" s="14"/>
    </row>
    <row r="919" hidden="1">
      <c r="A919" s="85" t="str">
        <f>HYPERLINK("https://github.com/pytorch/pytorch/blob/f99ab991dcd3719ee25dd3377a53ea12e518308e/test/torch_np/test_basic.py#L368", "TestSequenceOfArraysToSingle")</f>
        <v>TestSequenceOfArraysToSingle</v>
      </c>
      <c r="B919" s="86" t="s">
        <v>1059</v>
      </c>
      <c r="C919" s="86"/>
      <c r="D919" s="86" t="s">
        <v>912</v>
      </c>
      <c r="E919" s="87"/>
      <c r="F919" s="48" t="s">
        <v>644</v>
      </c>
      <c r="G919" s="88" t="b">
        <f>IF(G610=TRUE,TRUE,FALSE)</f>
        <v>0</v>
      </c>
      <c r="H919" s="34" t="str">
        <f>IF(G919=TRUE,H610,"")</f>
        <v/>
      </c>
      <c r="I919" s="34"/>
      <c r="J919" s="14"/>
    </row>
    <row r="920" hidden="1">
      <c r="A920" s="90" t="str">
        <f>HYPERLINK("https://github.com/pytorch/pytorch/blob/f99ab991dcd3719ee25dd3377a53ea12e518308e/test/torch_np/test_basic.py#L394", "TestArrayToSequence")</f>
        <v>TestArrayToSequence</v>
      </c>
      <c r="B920" s="91" t="s">
        <v>1059</v>
      </c>
      <c r="C920" s="91"/>
      <c r="D920" s="91" t="s">
        <v>912</v>
      </c>
      <c r="E920" s="92"/>
      <c r="F920" s="48" t="s">
        <v>644</v>
      </c>
      <c r="G920" s="93" t="b">
        <f>IF(G610=TRUE,TRUE,FALSE)</f>
        <v>0</v>
      </c>
      <c r="H920" s="34" t="str">
        <f>IF(G920=TRUE,H610,"")</f>
        <v/>
      </c>
      <c r="I920" s="34"/>
      <c r="J920" s="14"/>
    </row>
    <row r="921" hidden="1">
      <c r="A921" s="85" t="str">
        <f>HYPERLINK("https://github.com/pytorch/pytorch/blob/f99ab991dcd3719ee25dd3377a53ea12e518308e/test/torch_np/test_basic.py#L449", "TestPythonArgsToArray")</f>
        <v>TestPythonArgsToArray</v>
      </c>
      <c r="B921" s="86" t="s">
        <v>1059</v>
      </c>
      <c r="C921" s="86"/>
      <c r="D921" s="86" t="s">
        <v>912</v>
      </c>
      <c r="E921" s="87"/>
      <c r="F921" s="48" t="s">
        <v>644</v>
      </c>
      <c r="G921" s="88" t="b">
        <f>IF(G610=TRUE,TRUE,FALSE)</f>
        <v>0</v>
      </c>
      <c r="H921" s="34" t="str">
        <f>IF(G921=TRUE,H610,"")</f>
        <v/>
      </c>
      <c r="I921" s="34"/>
      <c r="J921" s="14"/>
    </row>
    <row r="922" hidden="1">
      <c r="A922" s="90" t="str">
        <f>HYPERLINK("https://github.com/pytorch/pytorch/blob/f99ab991dcd3719ee25dd3377a53ea12e518308e/test/torch_np/test_basic.py#L459", "TestNormalizations")</f>
        <v>TestNormalizations</v>
      </c>
      <c r="B922" s="91" t="s">
        <v>1059</v>
      </c>
      <c r="C922" s="91"/>
      <c r="D922" s="91" t="s">
        <v>912</v>
      </c>
      <c r="E922" s="92"/>
      <c r="F922" s="48" t="s">
        <v>644</v>
      </c>
      <c r="G922" s="93" t="b">
        <f>IF(G610=TRUE,TRUE,FALSE)</f>
        <v>0</v>
      </c>
      <c r="H922" s="34" t="str">
        <f>IF(G922=TRUE,H610,"")</f>
        <v/>
      </c>
      <c r="I922" s="34"/>
      <c r="J922" s="14"/>
    </row>
    <row r="923" hidden="1">
      <c r="A923" s="85" t="str">
        <f>HYPERLINK("https://github.com/pytorch/pytorch/blob/f99ab991dcd3719ee25dd3377a53ea12e518308e/test/torch_np/test_basic.py#L487", "TestCopyTo")</f>
        <v>TestCopyTo</v>
      </c>
      <c r="B923" s="86" t="s">
        <v>1059</v>
      </c>
      <c r="C923" s="86"/>
      <c r="D923" s="86" t="s">
        <v>912</v>
      </c>
      <c r="E923" s="87"/>
      <c r="F923" s="48" t="s">
        <v>644</v>
      </c>
      <c r="G923" s="88" t="b">
        <f>IF(G610=TRUE,TRUE,FALSE)</f>
        <v>0</v>
      </c>
      <c r="H923" s="34" t="str">
        <f>IF(G923=TRUE,H610,"")</f>
        <v/>
      </c>
      <c r="I923" s="34"/>
      <c r="J923" s="14"/>
    </row>
    <row r="924" hidden="1">
      <c r="A924" s="90" t="str">
        <f>HYPERLINK("https://github.com/pytorch/pytorch/blob/f99ab991dcd3719ee25dd3377a53ea12e518308e/test/torch_np/test_basic.py#L522", "TestDivmod")</f>
        <v>TestDivmod</v>
      </c>
      <c r="B924" s="91" t="s">
        <v>1059</v>
      </c>
      <c r="C924" s="91"/>
      <c r="D924" s="91" t="s">
        <v>912</v>
      </c>
      <c r="E924" s="92"/>
      <c r="F924" s="48" t="s">
        <v>644</v>
      </c>
      <c r="G924" s="93" t="b">
        <f>IF(G610=TRUE,TRUE,FALSE)</f>
        <v>0</v>
      </c>
      <c r="H924" s="34" t="str">
        <f>IF(G924=TRUE,H610,"")</f>
        <v/>
      </c>
      <c r="I924" s="34"/>
      <c r="J924" s="14"/>
    </row>
    <row r="925" hidden="1">
      <c r="A925" s="85" t="str">
        <f>HYPERLINK("https://github.com/pytorch/pytorch/blob/f99ab991dcd3719ee25dd3377a53ea12e518308e/test/torch_np/test_basic.py#L582", "TestSmokeNotImpl")</f>
        <v>TestSmokeNotImpl</v>
      </c>
      <c r="B925" s="86" t="s">
        <v>1059</v>
      </c>
      <c r="C925" s="86"/>
      <c r="D925" s="86" t="s">
        <v>912</v>
      </c>
      <c r="E925" s="87"/>
      <c r="F925" s="48" t="s">
        <v>644</v>
      </c>
      <c r="G925" s="88" t="b">
        <f>IF(G610=TRUE,TRUE,FALSE)</f>
        <v>0</v>
      </c>
      <c r="H925" s="34" t="str">
        <f>IF(G925=TRUE,H610,"")</f>
        <v/>
      </c>
      <c r="I925" s="34"/>
      <c r="J925" s="14"/>
    </row>
    <row r="926" hidden="1">
      <c r="A926" s="90" t="str">
        <f>HYPERLINK("https://github.com/pytorch/pytorch/blob/f99ab991dcd3719ee25dd3377a53ea12e518308e/test/torch_np/test_basic.py#L590", "TestDefaultDtype")</f>
        <v>TestDefaultDtype</v>
      </c>
      <c r="B926" s="91" t="s">
        <v>1059</v>
      </c>
      <c r="C926" s="91"/>
      <c r="D926" s="91" t="s">
        <v>912</v>
      </c>
      <c r="E926" s="92"/>
      <c r="F926" s="48" t="s">
        <v>644</v>
      </c>
      <c r="G926" s="93" t="b">
        <f>IF(G610=TRUE,TRUE,FALSE)</f>
        <v>0</v>
      </c>
      <c r="H926" s="34" t="str">
        <f>IF(G926=TRUE,H610,"")</f>
        <v/>
      </c>
      <c r="I926" s="34"/>
      <c r="J926" s="14"/>
    </row>
    <row r="927" hidden="1">
      <c r="A927" s="85" t="str">
        <f>HYPERLINK("https://github.com/pytorch/pytorch/blob/f99ab991dcd3719ee25dd3377a53ea12e518308e/test/torch_np/test_basic.py#L631", "TestExport")</f>
        <v>TestExport</v>
      </c>
      <c r="B927" s="86" t="s">
        <v>1059</v>
      </c>
      <c r="C927" s="86"/>
      <c r="D927" s="86" t="s">
        <v>912</v>
      </c>
      <c r="E927" s="87"/>
      <c r="F927" s="48" t="s">
        <v>644</v>
      </c>
      <c r="G927" s="88" t="b">
        <f>IF(G610=TRUE,TRUE,FALSE)</f>
        <v>0</v>
      </c>
      <c r="H927" s="34" t="str">
        <f>IF(G927=TRUE,H610,"")</f>
        <v/>
      </c>
      <c r="I927" s="34"/>
      <c r="J927" s="14"/>
    </row>
    <row r="928" hidden="1">
      <c r="A928" s="90" t="str">
        <f>HYPERLINK("https://github.com/pytorch/pytorch/blob/f99ab991dcd3719ee25dd3377a53ea12e518308e/test/torch_np/test_basic.py#L650", "TestCtorNested")</f>
        <v>TestCtorNested</v>
      </c>
      <c r="B928" s="91" t="s">
        <v>1059</v>
      </c>
      <c r="C928" s="91"/>
      <c r="D928" s="91" t="s">
        <v>912</v>
      </c>
      <c r="E928" s="92"/>
      <c r="F928" s="48" t="s">
        <v>644</v>
      </c>
      <c r="G928" s="93" t="b">
        <f>IF(G610=TRUE,TRUE,FALSE)</f>
        <v>0</v>
      </c>
      <c r="H928" s="34" t="str">
        <f>IF(G928=TRUE,H610,"")</f>
        <v/>
      </c>
      <c r="I928" s="34"/>
      <c r="J928" s="14"/>
    </row>
    <row r="929" hidden="1">
      <c r="A929" s="85" t="str">
        <f>HYPERLINK("https://github.com/pytorch/pytorch/blob/f99ab991dcd3719ee25dd3377a53ea12e518308e/test/torch_np/test_basic.py#L656", "TestMisc")</f>
        <v>TestMisc</v>
      </c>
      <c r="B929" s="86" t="s">
        <v>1059</v>
      </c>
      <c r="C929" s="86"/>
      <c r="D929" s="86" t="s">
        <v>912</v>
      </c>
      <c r="E929" s="87"/>
      <c r="F929" s="48" t="s">
        <v>644</v>
      </c>
      <c r="G929" s="88" t="b">
        <f>IF(G610=TRUE,TRUE,FALSE)</f>
        <v>0</v>
      </c>
      <c r="H929" s="34" t="str">
        <f>IF(G929=TRUE,H610,"")</f>
        <v/>
      </c>
      <c r="I929" s="34"/>
      <c r="J929" s="14"/>
    </row>
    <row r="930" hidden="1">
      <c r="A930" s="90" t="str">
        <f>HYPERLINK("https://github.com/pytorch/pytorch/blob/f99ab991dcd3719ee25dd3377a53ea12e518308e/test/torch_np/test_binary_ufuncs.py#L12", "TestBinaryUfuncBasic")</f>
        <v>TestBinaryUfuncBasic</v>
      </c>
      <c r="B930" s="91" t="s">
        <v>1060</v>
      </c>
      <c r="C930" s="91"/>
      <c r="D930" s="91" t="s">
        <v>912</v>
      </c>
      <c r="E930" s="92"/>
      <c r="F930" s="48" t="s">
        <v>644</v>
      </c>
      <c r="G930" s="93" t="b">
        <f>IF(G610=TRUE,TRUE,FALSE)</f>
        <v>0</v>
      </c>
      <c r="H930" s="34" t="str">
        <f>IF(G930=TRUE,H610,"")</f>
        <v/>
      </c>
      <c r="I930" s="34"/>
      <c r="J930" s="14"/>
    </row>
    <row r="931" hidden="1">
      <c r="A931" s="85" t="str">
        <f>HYPERLINK("https://github.com/pytorch/pytorch/blob/f99ab991dcd3719ee25dd3377a53ea12e518308e/test/torch_np/test_dtype.py#L49", "TestConvertDType")</f>
        <v>TestConvertDType</v>
      </c>
      <c r="B931" s="86" t="s">
        <v>1061</v>
      </c>
      <c r="C931" s="86"/>
      <c r="D931" s="86" t="s">
        <v>912</v>
      </c>
      <c r="E931" s="87"/>
      <c r="F931" s="48" t="s">
        <v>644</v>
      </c>
      <c r="G931" s="88" t="b">
        <f>IF(G610=TRUE,TRUE,FALSE)</f>
        <v>0</v>
      </c>
      <c r="H931" s="34" t="str">
        <f>IF(G931=TRUE,H610,"")</f>
        <v/>
      </c>
      <c r="I931" s="34"/>
      <c r="J931" s="14"/>
    </row>
    <row r="932" hidden="1">
      <c r="A932" s="90" t="str">
        <f>HYPERLINK("https://github.com/pytorch/pytorch/blob/f99ab991dcd3719ee25dd3377a53ea12e518308e/test/torch_np/test_function_base.py#L23", "TestAppend")</f>
        <v>TestAppend</v>
      </c>
      <c r="B932" s="91" t="s">
        <v>1062</v>
      </c>
      <c r="C932" s="91"/>
      <c r="D932" s="91" t="s">
        <v>912</v>
      </c>
      <c r="E932" s="92"/>
      <c r="F932" s="48" t="s">
        <v>644</v>
      </c>
      <c r="G932" s="93" t="b">
        <f>IF(G610=TRUE,TRUE,FALSE)</f>
        <v>0</v>
      </c>
      <c r="H932" s="34" t="str">
        <f>IF(G932=TRUE,H610,"")</f>
        <v/>
      </c>
      <c r="I932" s="34"/>
      <c r="J932" s="14"/>
    </row>
    <row r="933" hidden="1">
      <c r="A933" s="85" t="str">
        <f>HYPERLINK("https://github.com/pytorch/pytorch/blob/f99ab991dcd3719ee25dd3377a53ea12e518308e/test/torch_np/test_function_base.py#L37", "TestMisc")</f>
        <v>TestMisc</v>
      </c>
      <c r="B933" s="86" t="s">
        <v>1062</v>
      </c>
      <c r="C933" s="86"/>
      <c r="D933" s="86" t="s">
        <v>912</v>
      </c>
      <c r="E933" s="87"/>
      <c r="F933" s="48" t="s">
        <v>644</v>
      </c>
      <c r="G933" s="88" t="b">
        <f>IF(G610=TRUE,TRUE,FALSE)</f>
        <v>0</v>
      </c>
      <c r="H933" s="34" t="str">
        <f>IF(G933=TRUE,H610,"")</f>
        <v/>
      </c>
      <c r="I933" s="34"/>
      <c r="J933" s="14"/>
    </row>
    <row r="934" hidden="1">
      <c r="A934" s="90" t="str">
        <f>HYPERLINK("https://github.com/pytorch/pytorch/blob/f99ab991dcd3719ee25dd3377a53ea12e518308e/test/torch_np/test_indexing.py#L23", "TestAdvancedIndexing")</f>
        <v>TestAdvancedIndexing</v>
      </c>
      <c r="B934" s="91" t="s">
        <v>1063</v>
      </c>
      <c r="C934" s="91"/>
      <c r="D934" s="91" t="s">
        <v>912</v>
      </c>
      <c r="E934" s="92"/>
      <c r="F934" s="48" t="s">
        <v>644</v>
      </c>
      <c r="G934" s="93" t="b">
        <f>IF(G610=TRUE,TRUE,FALSE)</f>
        <v>0</v>
      </c>
      <c r="H934" s="34" t="str">
        <f>IF(G934=TRUE,H610,"")</f>
        <v/>
      </c>
      <c r="I934" s="34"/>
      <c r="J934" s="14"/>
    </row>
    <row r="935" hidden="1">
      <c r="A935" s="85" t="str">
        <f>HYPERLINK("https://github.com/pytorch/pytorch/blob/f99ab991dcd3719ee25dd3377a53ea12e518308e/test/torch_np/test_ndarray_methods.py#L30", "TestIndexing")</f>
        <v>TestIndexing</v>
      </c>
      <c r="B935" s="86" t="s">
        <v>1064</v>
      </c>
      <c r="C935" s="86"/>
      <c r="D935" s="86" t="s">
        <v>912</v>
      </c>
      <c r="E935" s="87"/>
      <c r="F935" s="48" t="s">
        <v>644</v>
      </c>
      <c r="G935" s="88" t="b">
        <f>IF(G610=TRUE,TRUE,FALSE)</f>
        <v>0</v>
      </c>
      <c r="H935" s="34" t="str">
        <f>IF(G935=TRUE,H610,"")</f>
        <v/>
      </c>
      <c r="I935" s="34"/>
      <c r="J935" s="14"/>
    </row>
    <row r="936" hidden="1">
      <c r="A936" s="90" t="str">
        <f>HYPERLINK("https://github.com/pytorch/pytorch/blob/f99ab991dcd3719ee25dd3377a53ea12e518308e/test/torch_np/test_ndarray_methods.py#L50", "TestReshape")</f>
        <v>TestReshape</v>
      </c>
      <c r="B936" s="91" t="s">
        <v>1064</v>
      </c>
      <c r="C936" s="91"/>
      <c r="D936" s="91" t="s">
        <v>912</v>
      </c>
      <c r="E936" s="92"/>
      <c r="F936" s="48" t="s">
        <v>644</v>
      </c>
      <c r="G936" s="93" t="b">
        <f>IF(G610=TRUE,TRUE,FALSE)</f>
        <v>0</v>
      </c>
      <c r="H936" s="34" t="str">
        <f>IF(G936=TRUE,H610,"")</f>
        <v/>
      </c>
      <c r="I936" s="34"/>
      <c r="J936" s="14"/>
    </row>
    <row r="937" hidden="1">
      <c r="A937" s="85" t="str">
        <f>HYPERLINK("https://github.com/pytorch/pytorch/blob/f99ab991dcd3719ee25dd3377a53ea12e518308e/test/torch_np/test_ndarray_methods.py#L116", "TestTranspose")</f>
        <v>TestTranspose</v>
      </c>
      <c r="B937" s="86" t="s">
        <v>1064</v>
      </c>
      <c r="C937" s="86"/>
      <c r="D937" s="86" t="s">
        <v>912</v>
      </c>
      <c r="E937" s="87"/>
      <c r="F937" s="48" t="s">
        <v>644</v>
      </c>
      <c r="G937" s="88" t="b">
        <f>IF(G610=TRUE,TRUE,FALSE)</f>
        <v>0</v>
      </c>
      <c r="H937" s="34" t="str">
        <f>IF(G937=TRUE,H610,"")</f>
        <v/>
      </c>
      <c r="I937" s="34"/>
      <c r="J937" s="14"/>
    </row>
    <row r="938" hidden="1">
      <c r="A938" s="90" t="str">
        <f>HYPERLINK("https://github.com/pytorch/pytorch/blob/f99ab991dcd3719ee25dd3377a53ea12e518308e/test/torch_np/test_ndarray_methods.py#L140", "TestRavel")</f>
        <v>TestRavel</v>
      </c>
      <c r="B938" s="91" t="s">
        <v>1064</v>
      </c>
      <c r="C938" s="91"/>
      <c r="D938" s="91" t="s">
        <v>912</v>
      </c>
      <c r="E938" s="92"/>
      <c r="F938" s="48" t="s">
        <v>644</v>
      </c>
      <c r="G938" s="93" t="b">
        <f>IF(G610=TRUE,TRUE,FALSE)</f>
        <v>0</v>
      </c>
      <c r="H938" s="34" t="str">
        <f>IF(G938=TRUE,H610,"")</f>
        <v/>
      </c>
      <c r="I938" s="34"/>
      <c r="J938" s="14"/>
    </row>
    <row r="939" hidden="1">
      <c r="A939" s="85" t="str">
        <f>HYPERLINK("https://github.com/pytorch/pytorch/blob/f99ab991dcd3719ee25dd3377a53ea12e518308e/test/torch_np/test_ndarray_methods.py#L160", "TestNonzero")</f>
        <v>TestNonzero</v>
      </c>
      <c r="B939" s="86" t="s">
        <v>1064</v>
      </c>
      <c r="C939" s="86"/>
      <c r="D939" s="86" t="s">
        <v>912</v>
      </c>
      <c r="E939" s="87"/>
      <c r="F939" s="48" t="s">
        <v>644</v>
      </c>
      <c r="G939" s="88" t="b">
        <f>IF(G610=TRUE,TRUE,FALSE)</f>
        <v>0</v>
      </c>
      <c r="H939" s="34" t="str">
        <f>IF(G939=TRUE,H610,"")</f>
        <v/>
      </c>
      <c r="I939" s="34"/>
      <c r="J939" s="14"/>
    </row>
    <row r="940" hidden="1">
      <c r="A940" s="90" t="str">
        <f>HYPERLINK("https://github.com/pytorch/pytorch/blob/f99ab991dcd3719ee25dd3377a53ea12e518308e/test/torch_np/test_ndarray_methods.py#L211", "TestArgmaxArgminCommon")</f>
        <v>TestArgmaxArgminCommon</v>
      </c>
      <c r="B940" s="91" t="s">
        <v>1064</v>
      </c>
      <c r="C940" s="91"/>
      <c r="D940" s="91" t="s">
        <v>912</v>
      </c>
      <c r="E940" s="92"/>
      <c r="F940" s="48" t="s">
        <v>644</v>
      </c>
      <c r="G940" s="93" t="b">
        <f>IF(G610=TRUE,TRUE,FALSE)</f>
        <v>0</v>
      </c>
      <c r="H940" s="34" t="str">
        <f>IF(G940=TRUE,H610,"")</f>
        <v/>
      </c>
      <c r="I940" s="34"/>
      <c r="J940" s="14"/>
    </row>
    <row r="941" hidden="1">
      <c r="A941" s="85" t="str">
        <f>HYPERLINK("https://github.com/pytorch/pytorch/blob/f99ab991dcd3719ee25dd3377a53ea12e518308e/test/torch_np/test_ndarray_methods.py#L398", "TestArgmax")</f>
        <v>TestArgmax</v>
      </c>
      <c r="B941" s="86" t="s">
        <v>1064</v>
      </c>
      <c r="C941" s="86"/>
      <c r="D941" s="86" t="s">
        <v>912</v>
      </c>
      <c r="E941" s="87"/>
      <c r="F941" s="48" t="s">
        <v>644</v>
      </c>
      <c r="G941" s="88" t="b">
        <f>IF(G610=TRUE,TRUE,FALSE)</f>
        <v>0</v>
      </c>
      <c r="H941" s="34" t="str">
        <f>IF(G941=TRUE,H610,"")</f>
        <v/>
      </c>
      <c r="I941" s="34"/>
      <c r="J941" s="14"/>
    </row>
    <row r="942" hidden="1">
      <c r="A942" s="90" t="str">
        <f>HYPERLINK("https://github.com/pytorch/pytorch/blob/f99ab991dcd3719ee25dd3377a53ea12e518308e/test/torch_np/test_ndarray_methods.py#L533", "TestArgmin")</f>
        <v>TestArgmin</v>
      </c>
      <c r="B942" s="91" t="s">
        <v>1064</v>
      </c>
      <c r="C942" s="91"/>
      <c r="D942" s="91" t="s">
        <v>912</v>
      </c>
      <c r="E942" s="92"/>
      <c r="F942" s="48" t="s">
        <v>644</v>
      </c>
      <c r="G942" s="93" t="b">
        <f>IF(G610=TRUE,TRUE,FALSE)</f>
        <v>0</v>
      </c>
      <c r="H942" s="34" t="str">
        <f>IF(G942=TRUE,H610,"")</f>
        <v/>
      </c>
      <c r="I942" s="34"/>
      <c r="J942" s="14"/>
    </row>
    <row r="943" hidden="1">
      <c r="A943" s="85" t="str">
        <f>HYPERLINK("https://github.com/pytorch/pytorch/blob/f99ab991dcd3719ee25dd3377a53ea12e518308e/test/torch_np/test_ndarray_methods.py#L645", "TestAmax")</f>
        <v>TestAmax</v>
      </c>
      <c r="B943" s="86" t="s">
        <v>1064</v>
      </c>
      <c r="C943" s="86"/>
      <c r="D943" s="86" t="s">
        <v>912</v>
      </c>
      <c r="E943" s="87"/>
      <c r="F943" s="48" t="s">
        <v>644</v>
      </c>
      <c r="G943" s="88" t="b">
        <f>IF(G610=TRUE,TRUE,FALSE)</f>
        <v>0</v>
      </c>
      <c r="H943" s="34" t="str">
        <f>IF(G943=TRUE,H610,"")</f>
        <v/>
      </c>
      <c r="I943" s="34"/>
      <c r="J943" s="14"/>
    </row>
    <row r="944" hidden="1">
      <c r="A944" s="90" t="str">
        <f>HYPERLINK("https://github.com/pytorch/pytorch/blob/f99ab991dcd3719ee25dd3377a53ea12e518308e/test/torch_np/test_ndarray_methods.py#L657", "TestAmin")</f>
        <v>TestAmin</v>
      </c>
      <c r="B944" s="91" t="s">
        <v>1064</v>
      </c>
      <c r="C944" s="91"/>
      <c r="D944" s="91" t="s">
        <v>912</v>
      </c>
      <c r="E944" s="92"/>
      <c r="F944" s="48" t="s">
        <v>644</v>
      </c>
      <c r="G944" s="93" t="b">
        <f>IF(G610=TRUE,TRUE,FALSE)</f>
        <v>0</v>
      </c>
      <c r="H944" s="34" t="str">
        <f>IF(G944=TRUE,H610,"")</f>
        <v/>
      </c>
      <c r="I944" s="34"/>
      <c r="J944" s="14"/>
    </row>
    <row r="945" hidden="1">
      <c r="A945" s="85" t="str">
        <f>HYPERLINK("https://github.com/pytorch/pytorch/blob/f99ab991dcd3719ee25dd3377a53ea12e518308e/test/torch_np/test_ndarray_methods.py#L669", "TestContains")</f>
        <v>TestContains</v>
      </c>
      <c r="B945" s="86" t="s">
        <v>1064</v>
      </c>
      <c r="C945" s="86"/>
      <c r="D945" s="86" t="s">
        <v>912</v>
      </c>
      <c r="E945" s="87"/>
      <c r="F945" s="48" t="s">
        <v>644</v>
      </c>
      <c r="G945" s="88" t="b">
        <f>IF(G610=TRUE,TRUE,FALSE)</f>
        <v>0</v>
      </c>
      <c r="H945" s="34" t="str">
        <f>IF(G945=TRUE,H610,"")</f>
        <v/>
      </c>
      <c r="I945" s="34"/>
      <c r="J945" s="14"/>
    </row>
    <row r="946" hidden="1">
      <c r="A946" s="90" t="str">
        <f>HYPERLINK("https://github.com/pytorch/pytorch/blob/f99ab991dcd3719ee25dd3377a53ea12e518308e/test/torch_np/test_ndarray_methods.py#L679", "TestNoExtraMethods")</f>
        <v>TestNoExtraMethods</v>
      </c>
      <c r="B946" s="91" t="s">
        <v>1064</v>
      </c>
      <c r="C946" s="91"/>
      <c r="D946" s="91" t="s">
        <v>912</v>
      </c>
      <c r="E946" s="92"/>
      <c r="F946" s="48" t="s">
        <v>644</v>
      </c>
      <c r="G946" s="93" t="b">
        <f>IF(G610=TRUE,TRUE,FALSE)</f>
        <v>0</v>
      </c>
      <c r="H946" s="34" t="str">
        <f>IF(G946=TRUE,H610,"")</f>
        <v/>
      </c>
      <c r="I946" s="34"/>
      <c r="J946" s="14"/>
    </row>
    <row r="947" hidden="1">
      <c r="A947" s="85" t="str">
        <f>HYPERLINK("https://github.com/pytorch/pytorch/blob/f99ab991dcd3719ee25dd3377a53ea12e518308e/test/torch_np/test_ndarray_methods.py#L689", "TestIter")</f>
        <v>TestIter</v>
      </c>
      <c r="B947" s="86" t="s">
        <v>1064</v>
      </c>
      <c r="C947" s="86"/>
      <c r="D947" s="86" t="s">
        <v>912</v>
      </c>
      <c r="E947" s="87"/>
      <c r="F947" s="48" t="s">
        <v>644</v>
      </c>
      <c r="G947" s="88" t="b">
        <f>IF(G610=TRUE,TRUE,FALSE)</f>
        <v>0</v>
      </c>
      <c r="H947" s="34" t="str">
        <f>IF(G947=TRUE,H610,"")</f>
        <v/>
      </c>
      <c r="I947" s="34"/>
      <c r="J947" s="14"/>
    </row>
    <row r="948" hidden="1">
      <c r="A948" s="90" t="str">
        <f>HYPERLINK("https://github.com/pytorch/pytorch/blob/f99ab991dcd3719ee25dd3377a53ea12e518308e/test/torch_np/test_nep50_examples.py#L92", "TestNEP50Table")</f>
        <v>TestNEP50Table</v>
      </c>
      <c r="B948" s="91" t="s">
        <v>1065</v>
      </c>
      <c r="C948" s="91"/>
      <c r="D948" s="91" t="s">
        <v>912</v>
      </c>
      <c r="E948" s="92"/>
      <c r="F948" s="48" t="s">
        <v>644</v>
      </c>
      <c r="G948" s="93" t="b">
        <f>IF(G610=TRUE,TRUE,FALSE)</f>
        <v>0</v>
      </c>
      <c r="H948" s="34" t="str">
        <f>IF(G948=TRUE,H610,"")</f>
        <v/>
      </c>
      <c r="I948" s="34"/>
      <c r="J948" s="14"/>
    </row>
    <row r="949" hidden="1">
      <c r="A949" s="85" t="str">
        <f>HYPERLINK("https://github.com/pytorch/pytorch/blob/f99ab991dcd3719ee25dd3377a53ea12e518308e/test/torch_np/test_nep50_examples.py#L160", "TestCompareToNumpy")</f>
        <v>TestCompareToNumpy</v>
      </c>
      <c r="B949" s="86" t="s">
        <v>1065</v>
      </c>
      <c r="C949" s="86"/>
      <c r="D949" s="86" t="s">
        <v>912</v>
      </c>
      <c r="E949" s="87"/>
      <c r="F949" s="48" t="s">
        <v>644</v>
      </c>
      <c r="G949" s="88" t="b">
        <f>IF(G610=TRUE,TRUE,FALSE)</f>
        <v>0</v>
      </c>
      <c r="H949" s="34" t="str">
        <f>IF(G949=TRUE,H610,"")</f>
        <v/>
      </c>
      <c r="I949" s="34"/>
      <c r="J949" s="14"/>
    </row>
    <row r="950" hidden="1">
      <c r="A950" s="90" t="str">
        <f>HYPERLINK("https://github.com/pytorch/pytorch/blob/f99ab991dcd3719ee25dd3377a53ea12e518308e/test/torch_np/test_random.py#L30", "TestScalarReturn")</f>
        <v>TestScalarReturn</v>
      </c>
      <c r="B950" s="91" t="s">
        <v>1066</v>
      </c>
      <c r="C950" s="91"/>
      <c r="D950" s="91" t="s">
        <v>912</v>
      </c>
      <c r="E950" s="92"/>
      <c r="F950" s="48" t="s">
        <v>644</v>
      </c>
      <c r="G950" s="93" t="b">
        <f>IF(G610=TRUE,TRUE,FALSE)</f>
        <v>0</v>
      </c>
      <c r="H950" s="34" t="str">
        <f>IF(G950=TRUE,H610,"")</f>
        <v/>
      </c>
      <c r="I950" s="34"/>
      <c r="J950" s="14"/>
    </row>
    <row r="951" hidden="1">
      <c r="A951" s="85" t="str">
        <f>HYPERLINK("https://github.com/pytorch/pytorch/blob/f99ab991dcd3719ee25dd3377a53ea12e518308e/test/torch_np/test_random.py#L77", "TestShuffle")</f>
        <v>TestShuffle</v>
      </c>
      <c r="B951" s="86" t="s">
        <v>1066</v>
      </c>
      <c r="C951" s="86"/>
      <c r="D951" s="86" t="s">
        <v>912</v>
      </c>
      <c r="E951" s="87"/>
      <c r="F951" s="48" t="s">
        <v>644</v>
      </c>
      <c r="G951" s="88" t="b">
        <f>IF(G610=TRUE,TRUE,FALSE)</f>
        <v>0</v>
      </c>
      <c r="H951" s="34" t="str">
        <f>IF(G951=TRUE,H610,"")</f>
        <v/>
      </c>
      <c r="I951" s="34"/>
      <c r="J951" s="14"/>
    </row>
    <row r="952" hidden="1">
      <c r="A952" s="90" t="str">
        <f>HYPERLINK("https://github.com/pytorch/pytorch/blob/f99ab991dcd3719ee25dd3377a53ea12e518308e/test/torch_np/test_random.py#L117", "TestChoice")</f>
        <v>TestChoice</v>
      </c>
      <c r="B952" s="91" t="s">
        <v>1066</v>
      </c>
      <c r="C952" s="91"/>
      <c r="D952" s="91" t="s">
        <v>912</v>
      </c>
      <c r="E952" s="92"/>
      <c r="F952" s="48" t="s">
        <v>644</v>
      </c>
      <c r="G952" s="93" t="b">
        <f>IF(G610=TRUE,TRUE,FALSE)</f>
        <v>0</v>
      </c>
      <c r="H952" s="34" t="str">
        <f>IF(G952=TRUE,H610,"")</f>
        <v/>
      </c>
      <c r="I952" s="34"/>
      <c r="J952" s="14"/>
    </row>
    <row r="953" hidden="1">
      <c r="A953" s="85" t="str">
        <f>HYPERLINK("https://github.com/pytorch/pytorch/blob/f99ab991dcd3719ee25dd3377a53ea12e518308e/test/torch_np/test_random.py#L129", "TestNumpyGlobal")</f>
        <v>TestNumpyGlobal</v>
      </c>
      <c r="B953" s="86" t="s">
        <v>1066</v>
      </c>
      <c r="C953" s="86"/>
      <c r="D953" s="86" t="s">
        <v>912</v>
      </c>
      <c r="E953" s="87"/>
      <c r="F953" s="48" t="s">
        <v>644</v>
      </c>
      <c r="G953" s="88" t="b">
        <f>IF(G610=TRUE,TRUE,FALSE)</f>
        <v>0</v>
      </c>
      <c r="H953" s="34" t="str">
        <f>IF(G953=TRUE,H610,"")</f>
        <v/>
      </c>
      <c r="I953" s="34"/>
      <c r="J953" s="14"/>
    </row>
    <row r="954" hidden="1">
      <c r="A954" s="90" t="str">
        <f>HYPERLINK("https://github.com/pytorch/pytorch/blob/f99ab991dcd3719ee25dd3377a53ea12e518308e/test/torch_np/test_reductions.py#L41", "TestFlatnonzero")</f>
        <v>TestFlatnonzero</v>
      </c>
      <c r="B954" s="91" t="s">
        <v>1067</v>
      </c>
      <c r="C954" s="91"/>
      <c r="D954" s="91" t="s">
        <v>912</v>
      </c>
      <c r="E954" s="92"/>
      <c r="F954" s="48" t="s">
        <v>644</v>
      </c>
      <c r="G954" s="93" t="b">
        <f>IF(G610=TRUE,TRUE,FALSE)</f>
        <v>0</v>
      </c>
      <c r="H954" s="34" t="str">
        <f>IF(G954=TRUE,H610,"")</f>
        <v/>
      </c>
      <c r="I954" s="34"/>
      <c r="J954" s="14"/>
    </row>
    <row r="955" hidden="1">
      <c r="A955" s="85" t="str">
        <f>HYPERLINK("https://github.com/pytorch/pytorch/blob/f99ab991dcd3719ee25dd3377a53ea12e518308e/test/torch_np/test_reductions.py#L47", "TestAny")</f>
        <v>TestAny</v>
      </c>
      <c r="B955" s="86" t="s">
        <v>1067</v>
      </c>
      <c r="C955" s="86"/>
      <c r="D955" s="86" t="s">
        <v>912</v>
      </c>
      <c r="E955" s="87"/>
      <c r="F955" s="48" t="s">
        <v>644</v>
      </c>
      <c r="G955" s="88" t="b">
        <f>IF(G610=TRUE,TRUE,FALSE)</f>
        <v>0</v>
      </c>
      <c r="H955" s="34" t="str">
        <f>IF(G955=TRUE,H610,"")</f>
        <v/>
      </c>
      <c r="I955" s="34"/>
      <c r="J955" s="14"/>
    </row>
    <row r="956" hidden="1">
      <c r="A956" s="90" t="str">
        <f>HYPERLINK("https://github.com/pytorch/pytorch/blob/f99ab991dcd3719ee25dd3377a53ea12e518308e/test/torch_np/test_reductions.py#L75", "TestAll")</f>
        <v>TestAll</v>
      </c>
      <c r="B956" s="91" t="s">
        <v>1067</v>
      </c>
      <c r="C956" s="91"/>
      <c r="D956" s="91" t="s">
        <v>912</v>
      </c>
      <c r="E956" s="92"/>
      <c r="F956" s="48" t="s">
        <v>644</v>
      </c>
      <c r="G956" s="93" t="b">
        <f>IF(G610=TRUE,TRUE,FALSE)</f>
        <v>0</v>
      </c>
      <c r="H956" s="34" t="str">
        <f>IF(G956=TRUE,H610,"")</f>
        <v/>
      </c>
      <c r="I956" s="34"/>
      <c r="J956" s="14"/>
    </row>
    <row r="957" hidden="1">
      <c r="A957" s="85" t="str">
        <f>HYPERLINK("https://github.com/pytorch/pytorch/blob/f99ab991dcd3719ee25dd3377a53ea12e518308e/test/torch_np/test_reductions.py#L102", "TestMean")</f>
        <v>TestMean</v>
      </c>
      <c r="B957" s="86" t="s">
        <v>1067</v>
      </c>
      <c r="C957" s="86"/>
      <c r="D957" s="86" t="s">
        <v>912</v>
      </c>
      <c r="E957" s="87"/>
      <c r="F957" s="48" t="s">
        <v>644</v>
      </c>
      <c r="G957" s="88" t="b">
        <f>IF(G610=TRUE,TRUE,FALSE)</f>
        <v>0</v>
      </c>
      <c r="H957" s="34" t="str">
        <f>IF(G957=TRUE,H610,"")</f>
        <v/>
      </c>
      <c r="I957" s="34"/>
      <c r="J957" s="14"/>
    </row>
    <row r="958" hidden="1">
      <c r="A958" s="90" t="str">
        <f>HYPERLINK("https://github.com/pytorch/pytorch/blob/f99ab991dcd3719ee25dd3377a53ea12e518308e/test/torch_np/test_reductions.py#L185", "TestSum")</f>
        <v>TestSum</v>
      </c>
      <c r="B958" s="91" t="s">
        <v>1067</v>
      </c>
      <c r="C958" s="91"/>
      <c r="D958" s="91" t="s">
        <v>912</v>
      </c>
      <c r="E958" s="92"/>
      <c r="F958" s="48" t="s">
        <v>644</v>
      </c>
      <c r="G958" s="93" t="b">
        <f>IF(G610=TRUE,TRUE,FALSE)</f>
        <v>0</v>
      </c>
      <c r="H958" s="34" t="str">
        <f>IF(G958=TRUE,H610,"")</f>
        <v/>
      </c>
      <c r="I958" s="34"/>
      <c r="J958" s="14"/>
    </row>
    <row r="959" hidden="1">
      <c r="A959" s="85" t="str">
        <f>HYPERLINK("https://github.com/pytorch/pytorch/blob/f99ab991dcd3719ee25dd3377a53ea12e518308e/test/torch_np/test_reductions.py#L344", "TestGenericReductions")</f>
        <v>TestGenericReductions</v>
      </c>
      <c r="B959" s="86" t="s">
        <v>1067</v>
      </c>
      <c r="C959" s="86"/>
      <c r="D959" s="86" t="s">
        <v>912</v>
      </c>
      <c r="E959" s="87"/>
      <c r="F959" s="48" t="s">
        <v>644</v>
      </c>
      <c r="G959" s="88" t="b">
        <f>IF(G610=TRUE,TRUE,FALSE)</f>
        <v>0</v>
      </c>
      <c r="H959" s="34" t="str">
        <f>IF(G959=TRUE,H610,"")</f>
        <v/>
      </c>
      <c r="I959" s="34"/>
      <c r="J959" s="14"/>
    </row>
    <row r="960" hidden="1">
      <c r="A960" s="90" t="str">
        <f>HYPERLINK("https://github.com/pytorch/pytorch/blob/f99ab991dcd3719ee25dd3377a53ea12e518308e/test/torch_np/test_reductions.py#L511", "TestGenericCumSumProd")</f>
        <v>TestGenericCumSumProd</v>
      </c>
      <c r="B960" s="91" t="s">
        <v>1067</v>
      </c>
      <c r="C960" s="91"/>
      <c r="D960" s="91" t="s">
        <v>912</v>
      </c>
      <c r="E960" s="92"/>
      <c r="F960" s="48" t="s">
        <v>644</v>
      </c>
      <c r="G960" s="93" t="b">
        <f>IF(G610=TRUE,TRUE,FALSE)</f>
        <v>0</v>
      </c>
      <c r="H960" s="34" t="str">
        <f>IF(G960=TRUE,H610,"")</f>
        <v/>
      </c>
      <c r="I960" s="34"/>
      <c r="J960" s="14"/>
    </row>
    <row r="961" hidden="1">
      <c r="A961" s="85" t="str">
        <f>HYPERLINK("https://github.com/pytorch/pytorch/blob/f99ab991dcd3719ee25dd3377a53ea12e518308e/test/torch_np/test_scalars_0D_arrays.py#L43", "TestArrayScalars")</f>
        <v>TestArrayScalars</v>
      </c>
      <c r="B961" s="86" t="s">
        <v>1068</v>
      </c>
      <c r="C961" s="86"/>
      <c r="D961" s="86" t="s">
        <v>912</v>
      </c>
      <c r="E961" s="87"/>
      <c r="F961" s="48" t="s">
        <v>644</v>
      </c>
      <c r="G961" s="88" t="b">
        <f>IF(G610=TRUE,TRUE,FALSE)</f>
        <v>0</v>
      </c>
      <c r="H961" s="34" t="str">
        <f>IF(G961=TRUE,H610,"")</f>
        <v/>
      </c>
      <c r="I961" s="34"/>
      <c r="J961" s="14"/>
    </row>
    <row r="962" hidden="1">
      <c r="A962" s="90" t="str">
        <f>HYPERLINK("https://github.com/pytorch/pytorch/blob/f99ab991dcd3719ee25dd3377a53ea12e518308e/test/torch_np/test_scalars_0D_arrays.py#L107", "TestIsScalar")</f>
        <v>TestIsScalar</v>
      </c>
      <c r="B962" s="91" t="s">
        <v>1068</v>
      </c>
      <c r="C962" s="91"/>
      <c r="D962" s="91" t="s">
        <v>912</v>
      </c>
      <c r="E962" s="92"/>
      <c r="F962" s="48" t="s">
        <v>644</v>
      </c>
      <c r="G962" s="93" t="b">
        <f>IF(G610=TRUE,TRUE,FALSE)</f>
        <v>0</v>
      </c>
      <c r="H962" s="34" t="str">
        <f>IF(G962=TRUE,H610,"")</f>
        <v/>
      </c>
      <c r="I962" s="34"/>
      <c r="J962" s="14"/>
    </row>
    <row r="963" hidden="1">
      <c r="A963" s="85" t="str">
        <f>HYPERLINK("https://github.com/pytorch/pytorch/blob/f99ab991dcd3719ee25dd3377a53ea12e518308e/test/torch_np/test_ufuncs_basic.py#L42", "TestUnaryUfuncs")</f>
        <v>TestUnaryUfuncs</v>
      </c>
      <c r="B963" s="86" t="s">
        <v>1069</v>
      </c>
      <c r="C963" s="86"/>
      <c r="D963" s="86" t="s">
        <v>912</v>
      </c>
      <c r="E963" s="87"/>
      <c r="F963" s="48" t="s">
        <v>644</v>
      </c>
      <c r="G963" s="88" t="b">
        <f>IF(G610=TRUE,TRUE,FALSE)</f>
        <v>0</v>
      </c>
      <c r="H963" s="34" t="str">
        <f>IF(G963=TRUE,H610,"")</f>
        <v/>
      </c>
      <c r="I963" s="34"/>
      <c r="J963" s="14"/>
    </row>
    <row r="964" hidden="1">
      <c r="A964" s="90" t="str">
        <f>HYPERLINK("https://github.com/pytorch/pytorch/blob/f99ab991dcd3719ee25dd3377a53ea12e518308e/test/torch_np/test_ufuncs_basic.py#L171", "TestBinaryUfuncs")</f>
        <v>TestBinaryUfuncs</v>
      </c>
      <c r="B964" s="91" t="s">
        <v>1069</v>
      </c>
      <c r="C964" s="91"/>
      <c r="D964" s="91" t="s">
        <v>912</v>
      </c>
      <c r="E964" s="92"/>
      <c r="F964" s="48" t="s">
        <v>644</v>
      </c>
      <c r="G964" s="93" t="b">
        <f>IF(G610=TRUE,TRUE,FALSE)</f>
        <v>0</v>
      </c>
      <c r="H964" s="34" t="str">
        <f>IF(G964=TRUE,H610,"")</f>
        <v/>
      </c>
      <c r="I964" s="34"/>
      <c r="J964" s="14"/>
    </row>
    <row r="965" hidden="1">
      <c r="A965" s="85" t="str">
        <f>HYPERLINK("https://github.com/pytorch/pytorch/blob/f99ab991dcd3719ee25dd3377a53ea12e518308e/test/torch_np/test_ufuncs_basic.py#L233", "TestNdarrayDunderVsUfunc")</f>
        <v>TestNdarrayDunderVsUfunc</v>
      </c>
      <c r="B965" s="86" t="s">
        <v>1069</v>
      </c>
      <c r="C965" s="86"/>
      <c r="D965" s="86" t="s">
        <v>912</v>
      </c>
      <c r="E965" s="87"/>
      <c r="F965" s="48" t="s">
        <v>644</v>
      </c>
      <c r="G965" s="88" t="b">
        <f>IF(G610=TRUE,TRUE,FALSE)</f>
        <v>0</v>
      </c>
      <c r="H965" s="34" t="str">
        <f>IF(G965=TRUE,H610,"")</f>
        <v/>
      </c>
      <c r="I965" s="34"/>
      <c r="J965" s="14"/>
    </row>
    <row r="966" hidden="1">
      <c r="A966" s="90" t="str">
        <f>HYPERLINK("https://github.com/pytorch/pytorch/blob/f99ab991dcd3719ee25dd3377a53ea12e518308e/test/torch_np/test_ufuncs_basic.py#L406", "TestUfuncDtypeKwd")</f>
        <v>TestUfuncDtypeKwd</v>
      </c>
      <c r="B966" s="91" t="s">
        <v>1069</v>
      </c>
      <c r="C966" s="91"/>
      <c r="D966" s="91" t="s">
        <v>912</v>
      </c>
      <c r="E966" s="92"/>
      <c r="F966" s="48" t="s">
        <v>644</v>
      </c>
      <c r="G966" s="93" t="b">
        <f>IF(G610=TRUE,TRUE,FALSE)</f>
        <v>0</v>
      </c>
      <c r="H966" s="34" t="str">
        <f>IF(G966=TRUE,H610,"")</f>
        <v/>
      </c>
      <c r="I966" s="34"/>
      <c r="J966" s="14"/>
    </row>
    <row r="967" hidden="1">
      <c r="A967" s="85" t="str">
        <f>HYPERLINK("https://github.com/pytorch/pytorch/blob/f99ab991dcd3719ee25dd3377a53ea12e518308e/test/torch_np/test_unary_ufuncs.py#L13", "TestUnaryUfuncs")</f>
        <v>TestUnaryUfuncs</v>
      </c>
      <c r="B967" s="86" t="s">
        <v>1070</v>
      </c>
      <c r="C967" s="86"/>
      <c r="D967" s="86" t="s">
        <v>912</v>
      </c>
      <c r="E967" s="87"/>
      <c r="F967" s="48" t="s">
        <v>644</v>
      </c>
      <c r="G967" s="88" t="b">
        <f>IF(G610=TRUE,TRUE,FALSE)</f>
        <v>0</v>
      </c>
      <c r="H967" s="34" t="str">
        <f>IF(G967=TRUE,H610,"")</f>
        <v/>
      </c>
      <c r="I967" s="34"/>
      <c r="J967" s="14"/>
    </row>
    <row r="968" hidden="1">
      <c r="A968" s="9" t="s">
        <v>1071</v>
      </c>
      <c r="B968" s="10"/>
      <c r="C968" s="10"/>
      <c r="D968" s="10"/>
      <c r="E968" s="11"/>
      <c r="F968" s="12"/>
      <c r="G968" s="12"/>
      <c r="H968" s="12"/>
      <c r="I968" s="12"/>
      <c r="J968" s="14"/>
    </row>
    <row r="969" hidden="1">
      <c r="A969" s="15" t="s">
        <v>1072</v>
      </c>
      <c r="B969" s="16"/>
      <c r="C969" s="16"/>
      <c r="D969" s="16"/>
      <c r="E969" s="17"/>
      <c r="F969" s="18" t="b">
        <v>1</v>
      </c>
      <c r="G969" s="18" t="b">
        <v>0</v>
      </c>
      <c r="H969" s="20"/>
      <c r="I969" s="20"/>
      <c r="J969" s="14"/>
    </row>
    <row r="970" hidden="1">
      <c r="A970" s="90" t="str">
        <f>HYPERLINK("https://github.com/pytorch/pytorch/blob/f99ab991dcd3719ee25dd3377a53ea12e518308e/test/onnx/exporter/test_api.py#L62", "TestExportAPIDynamo")</f>
        <v>TestExportAPIDynamo</v>
      </c>
      <c r="B970" s="91" t="s">
        <v>1073</v>
      </c>
      <c r="C970" s="91"/>
      <c r="D970" s="91" t="s">
        <v>912</v>
      </c>
      <c r="E970" s="92"/>
      <c r="F970" s="93" t="b">
        <v>0</v>
      </c>
      <c r="G970" s="93" t="b">
        <f>IF(G969=TRUE,TRUE,FALSE)</f>
        <v>0</v>
      </c>
      <c r="H970" s="34" t="str">
        <f>IF(G970=TRUE,H969,"")</f>
        <v/>
      </c>
      <c r="I970" s="34"/>
      <c r="J970" s="14"/>
    </row>
    <row r="971" hidden="1">
      <c r="A971" s="85" t="str">
        <f>HYPERLINK("https://github.com/pytorch/pytorch/blob/f99ab991dcd3719ee25dd3377a53ea12e518308e/test/onnx/exporter/test_api.py#L442", "TestCustomTranslationTable")</f>
        <v>TestCustomTranslationTable</v>
      </c>
      <c r="B971" s="86" t="s">
        <v>1073</v>
      </c>
      <c r="C971" s="86"/>
      <c r="D971" s="86" t="s">
        <v>912</v>
      </c>
      <c r="E971" s="87"/>
      <c r="F971" s="88" t="b">
        <v>0</v>
      </c>
      <c r="G971" s="88" t="b">
        <f>IF(G969=TRUE,TRUE,FALSE)</f>
        <v>0</v>
      </c>
      <c r="H971" s="34" t="str">
        <f>IF(G971=TRUE,H969,"")</f>
        <v/>
      </c>
      <c r="I971" s="34"/>
      <c r="J971" s="14"/>
    </row>
    <row r="972" hidden="1">
      <c r="A972" s="90" t="str">
        <f>HYPERLINK("https://github.com/pytorch/pytorch/blob/f99ab991dcd3719ee25dd3377a53ea12e518308e/test/onnx/exporter/test_building.py#L15", "TestOpRecorder")</f>
        <v>TestOpRecorder</v>
      </c>
      <c r="B972" s="91" t="s">
        <v>1074</v>
      </c>
      <c r="C972" s="91"/>
      <c r="D972" s="91" t="s">
        <v>912</v>
      </c>
      <c r="E972" s="92"/>
      <c r="F972" s="93" t="b">
        <v>0</v>
      </c>
      <c r="G972" s="93" t="b">
        <f>IF(G969=TRUE,TRUE,FALSE)</f>
        <v>0</v>
      </c>
      <c r="H972" s="34" t="str">
        <f>IF(G972=TRUE,H969,"")</f>
        <v/>
      </c>
      <c r="I972" s="34"/>
      <c r="J972" s="14"/>
    </row>
    <row r="973" hidden="1">
      <c r="A973" s="85" t="str">
        <f>HYPERLINK("https://github.com/pytorch/pytorch/blob/f99ab991dcd3719ee25dd3377a53ea12e518308e/test/onnx/exporter/test_capture_strategies.py#L12", "ExportStrategiesTest")</f>
        <v>ExportStrategiesTest</v>
      </c>
      <c r="B973" s="86" t="s">
        <v>1075</v>
      </c>
      <c r="C973" s="86"/>
      <c r="D973" s="86" t="s">
        <v>912</v>
      </c>
      <c r="E973" s="87"/>
      <c r="F973" s="88" t="b">
        <v>0</v>
      </c>
      <c r="G973" s="88" t="b">
        <f>IF(G969=TRUE,TRUE,FALSE)</f>
        <v>0</v>
      </c>
      <c r="H973" s="34" t="str">
        <f>IF(G973=TRUE,H969,"")</f>
        <v/>
      </c>
      <c r="I973" s="34"/>
      <c r="J973" s="14"/>
    </row>
    <row r="974" hidden="1">
      <c r="A974" s="90" t="str">
        <f>HYPERLINK("https://github.com/pytorch/pytorch/blob/f99ab991dcd3719ee25dd3377a53ea12e518308e/test/onnx/exporter/test_core.py#L19", "TorchTensorTest")</f>
        <v>TorchTensorTest</v>
      </c>
      <c r="B974" s="91" t="s">
        <v>1076</v>
      </c>
      <c r="C974" s="91"/>
      <c r="D974" s="91" t="s">
        <v>912</v>
      </c>
      <c r="E974" s="92"/>
      <c r="F974" s="93" t="b">
        <v>0</v>
      </c>
      <c r="G974" s="93" t="b">
        <f>IF(G969=TRUE,TRUE,FALSE)</f>
        <v>0</v>
      </c>
      <c r="H974" s="34" t="str">
        <f>IF(G974=TRUE,H969,"")</f>
        <v/>
      </c>
      <c r="I974" s="34"/>
      <c r="J974" s="14"/>
    </row>
    <row r="975" hidden="1">
      <c r="A975" s="85" t="str">
        <f>HYPERLINK("https://github.com/pytorch/pytorch/blob/f99ab991dcd3719ee25dd3377a53ea12e518308e/test/onnx/exporter/test_core.py#L89", "TorchTensorToFileTest")</f>
        <v>TorchTensorToFileTest</v>
      </c>
      <c r="B975" s="86" t="s">
        <v>1076</v>
      </c>
      <c r="C975" s="86"/>
      <c r="D975" s="86" t="s">
        <v>912</v>
      </c>
      <c r="E975" s="87"/>
      <c r="F975" s="88" t="b">
        <v>0</v>
      </c>
      <c r="G975" s="88" t="b">
        <f>IF(G969=TRUE,TRUE,FALSE)</f>
        <v>0</v>
      </c>
      <c r="H975" s="34" t="str">
        <f>IF(G975=TRUE,H969,"")</f>
        <v/>
      </c>
      <c r="I975" s="34"/>
      <c r="J975" s="14"/>
    </row>
    <row r="976" hidden="1">
      <c r="A976" s="90" t="str">
        <f>HYPERLINK("https://github.com/pytorch/pytorch/blob/f99ab991dcd3719ee25dd3377a53ea12e518308e/test/onnx/exporter/test_dynamic_shapes.py#L59", "TestDynamicShapes")</f>
        <v>TestDynamicShapes</v>
      </c>
      <c r="B976" s="91" t="s">
        <v>1077</v>
      </c>
      <c r="C976" s="91"/>
      <c r="D976" s="91" t="s">
        <v>912</v>
      </c>
      <c r="E976" s="92"/>
      <c r="F976" s="93" t="b">
        <v>0</v>
      </c>
      <c r="G976" s="93" t="b">
        <f>IF(G969=TRUE,TRUE,FALSE)</f>
        <v>0</v>
      </c>
      <c r="H976" s="34" t="str">
        <f>IF(G976=TRUE,H969,"")</f>
        <v/>
      </c>
      <c r="I976" s="34"/>
      <c r="J976" s="14"/>
    </row>
    <row r="977" hidden="1">
      <c r="A977" s="85" t="str">
        <f>HYPERLINK("https://github.com/pytorch/pytorch/blob/f99ab991dcd3719ee25dd3377a53ea12e518308e/test/onnx/exporter/test_exportable_module.py#L96", "TestExportableModule")</f>
        <v>TestExportableModule</v>
      </c>
      <c r="B977" s="86" t="s">
        <v>1078</v>
      </c>
      <c r="C977" s="86"/>
      <c r="D977" s="86" t="s">
        <v>912</v>
      </c>
      <c r="E977" s="87"/>
      <c r="F977" s="88" t="b">
        <v>0</v>
      </c>
      <c r="G977" s="88" t="b">
        <f>IF(G969=TRUE,TRUE,FALSE)</f>
        <v>0</v>
      </c>
      <c r="H977" s="34" t="str">
        <f>IF(G977=TRUE,H969,"")</f>
        <v/>
      </c>
      <c r="I977" s="34"/>
      <c r="J977" s="14"/>
    </row>
    <row r="978" hidden="1">
      <c r="A978" s="90" t="str">
        <f>HYPERLINK("https://github.com/pytorch/pytorch/blob/f99ab991dcd3719ee25dd3377a53ea12e518308e/test/onnx/exporter/test_hf_models_e2e.py#L15", "DynamoExporterHfModelsTest")</f>
        <v>DynamoExporterHfModelsTest</v>
      </c>
      <c r="B978" s="91" t="s">
        <v>1079</v>
      </c>
      <c r="C978" s="91"/>
      <c r="D978" s="91" t="s">
        <v>912</v>
      </c>
      <c r="E978" s="92"/>
      <c r="F978" s="93" t="b">
        <v>0</v>
      </c>
      <c r="G978" s="93" t="b">
        <f>IF(G969=TRUE,TRUE,FALSE)</f>
        <v>0</v>
      </c>
      <c r="H978" s="34" t="str">
        <f>IF(G978=TRUE,H969,"")</f>
        <v/>
      </c>
      <c r="I978" s="34"/>
      <c r="J978" s="14"/>
    </row>
    <row r="979" hidden="1">
      <c r="A979" s="85" t="str">
        <f>HYPERLINK("https://github.com/pytorch/pytorch/blob/f99ab991dcd3719ee25dd3377a53ea12e518308e/test/onnx/exporter/test_input_observer.py#L13", "TestInputObserver")</f>
        <v>TestInputObserver</v>
      </c>
      <c r="B979" s="86" t="s">
        <v>1080</v>
      </c>
      <c r="C979" s="86"/>
      <c r="D979" s="86" t="s">
        <v>912</v>
      </c>
      <c r="E979" s="87"/>
      <c r="F979" s="88" t="b">
        <v>0</v>
      </c>
      <c r="G979" s="88" t="b">
        <f>IF(G969=TRUE,TRUE,FALSE)</f>
        <v>0</v>
      </c>
      <c r="H979" s="34" t="str">
        <f>IF(G979=TRUE,H969,"")</f>
        <v/>
      </c>
      <c r="I979" s="34"/>
      <c r="J979" s="14"/>
    </row>
    <row r="980" hidden="1">
      <c r="A980" s="90" t="str">
        <f>HYPERLINK("https://github.com/pytorch/pytorch/blob/f99ab991dcd3719ee25dd3377a53ea12e518308e/test/onnx/exporter/test_ir_passes.py#L14", "ONNXIRPassesTest")</f>
        <v>ONNXIRPassesTest</v>
      </c>
      <c r="B980" s="91" t="s">
        <v>1081</v>
      </c>
      <c r="C980" s="91"/>
      <c r="D980" s="91" t="s">
        <v>912</v>
      </c>
      <c r="E980" s="92"/>
      <c r="F980" s="93" t="b">
        <v>0</v>
      </c>
      <c r="G980" s="93" t="b">
        <f>IF(G969=TRUE,TRUE,FALSE)</f>
        <v>0</v>
      </c>
      <c r="H980" s="34" t="str">
        <f>IF(G980=TRUE,H969,"")</f>
        <v/>
      </c>
      <c r="I980" s="34"/>
      <c r="J980" s="14"/>
    </row>
    <row r="981" hidden="1">
      <c r="A981" s="85" t="str">
        <f>HYPERLINK("https://github.com/pytorch/pytorch/blob/f99ab991dcd3719ee25dd3377a53ea12e518308e/test/onnx/exporter/test_small_models_e2e.py#L36", "DynamoExporterTest")</f>
        <v>DynamoExporterTest</v>
      </c>
      <c r="B981" s="86" t="s">
        <v>1082</v>
      </c>
      <c r="C981" s="86"/>
      <c r="D981" s="86" t="s">
        <v>912</v>
      </c>
      <c r="E981" s="87"/>
      <c r="F981" s="88" t="b">
        <v>0</v>
      </c>
      <c r="G981" s="88" t="b">
        <f>IF(G969=TRUE,TRUE,FALSE)</f>
        <v>0</v>
      </c>
      <c r="H981" s="34" t="str">
        <f>IF(G981=TRUE,H969,"")</f>
        <v/>
      </c>
      <c r="I981" s="34"/>
      <c r="J981" s="14"/>
    </row>
    <row r="982" hidden="1">
      <c r="A982" s="90" t="str">
        <f>HYPERLINK("https://github.com/pytorch/pytorch/blob/f99ab991dcd3719ee25dd3377a53ea12e518308e/test/onnx/exporter/test_small_models_e2e.py#L834", "DynamoExporterNewOpsetsTest")</f>
        <v>DynamoExporterNewOpsetsTest</v>
      </c>
      <c r="B982" s="91" t="s">
        <v>1082</v>
      </c>
      <c r="C982" s="91"/>
      <c r="D982" s="91" t="s">
        <v>912</v>
      </c>
      <c r="E982" s="92"/>
      <c r="F982" s="93" t="b">
        <v>0</v>
      </c>
      <c r="G982" s="93" t="b">
        <f>IF(G969=TRUE,TRUE,FALSE)</f>
        <v>0</v>
      </c>
      <c r="H982" s="34" t="str">
        <f>IF(G982=TRUE,H969,"")</f>
        <v/>
      </c>
      <c r="I982" s="34"/>
      <c r="J982" s="14"/>
    </row>
    <row r="983" hidden="1">
      <c r="A983" s="85" t="str">
        <f>HYPERLINK("https://github.com/pytorch/pytorch/blob/f99ab991dcd3719ee25dd3377a53ea12e518308e/test/onnx/exporter/test_tensors.py#L12", "SymbolicTensorTest")</f>
        <v>SymbolicTensorTest</v>
      </c>
      <c r="B983" s="86" t="s">
        <v>1083</v>
      </c>
      <c r="C983" s="86"/>
      <c r="D983" s="86" t="s">
        <v>912</v>
      </c>
      <c r="E983" s="87"/>
      <c r="F983" s="88" t="b">
        <v>0</v>
      </c>
      <c r="G983" s="88" t="b">
        <f>IF(G969=TRUE,TRUE,FALSE)</f>
        <v>0</v>
      </c>
      <c r="H983" s="34" t="str">
        <f>IF(G983=TRUE,H969,"")</f>
        <v/>
      </c>
      <c r="I983" s="34"/>
      <c r="J983" s="14"/>
    </row>
    <row r="984" hidden="1">
      <c r="A984" s="90" t="str">
        <f>HYPERLINK("https://github.com/pytorch/pytorch/blob/f99ab991dcd3719ee25dd3377a53ea12e518308e/test/onnx/exporter/test_verification.py#L13", "VerificationInfoTest")</f>
        <v>VerificationInfoTest</v>
      </c>
      <c r="B984" s="91" t="s">
        <v>1084</v>
      </c>
      <c r="C984" s="91"/>
      <c r="D984" s="91" t="s">
        <v>912</v>
      </c>
      <c r="E984" s="92"/>
      <c r="F984" s="93" t="b">
        <v>0</v>
      </c>
      <c r="G984" s="93" t="b">
        <f>IF(G969=TRUE,TRUE,FALSE)</f>
        <v>0</v>
      </c>
      <c r="H984" s="34" t="str">
        <f>IF(G984=TRUE,H969,"")</f>
        <v/>
      </c>
      <c r="I984" s="34"/>
      <c r="J984" s="14"/>
    </row>
    <row r="985" hidden="1">
      <c r="A985" s="85" t="str">
        <f>HYPERLINK("https://github.com/pytorch/pytorch/blob/f99ab991dcd3719ee25dd3377a53ea12e518308e/test/onnx/exporter/test_verification.py#L85", "VerificationInterpreterTest")</f>
        <v>VerificationInterpreterTest</v>
      </c>
      <c r="B985" s="86" t="s">
        <v>1084</v>
      </c>
      <c r="C985" s="86"/>
      <c r="D985" s="86" t="s">
        <v>912</v>
      </c>
      <c r="E985" s="87"/>
      <c r="F985" s="88" t="b">
        <v>0</v>
      </c>
      <c r="G985" s="88" t="b">
        <f>IF(G969=TRUE,TRUE,FALSE)</f>
        <v>0</v>
      </c>
      <c r="H985" s="34" t="str">
        <f>IF(G985=TRUE,H969,"")</f>
        <v/>
      </c>
      <c r="I985" s="34"/>
      <c r="J985" s="14"/>
    </row>
    <row r="986" hidden="1">
      <c r="A986" s="90" t="str">
        <f>HYPERLINK("https://github.com/pytorch/pytorch/blob/f99ab991dcd3719ee25dd3377a53ea12e518308e/test/onnx/exporter/test_verification.py#L106", "VerificationFunctionsTest")</f>
        <v>VerificationFunctionsTest</v>
      </c>
      <c r="B986" s="91" t="s">
        <v>1084</v>
      </c>
      <c r="C986" s="91"/>
      <c r="D986" s="91" t="s">
        <v>912</v>
      </c>
      <c r="E986" s="92"/>
      <c r="F986" s="93" t="b">
        <v>0</v>
      </c>
      <c r="G986" s="93" t="b">
        <f>IF(G969=TRUE,TRUE,FALSE)</f>
        <v>0</v>
      </c>
      <c r="H986" s="34" t="str">
        <f>IF(G986=TRUE,H969,"")</f>
        <v/>
      </c>
      <c r="I986" s="34"/>
      <c r="J986" s="14"/>
    </row>
    <row r="987" hidden="1">
      <c r="A987" s="85" t="str">
        <f>HYPERLINK("https://github.com/pytorch/pytorch/blob/f99ab991dcd3719ee25dd3377a53ea12e518308e/test/onnx/internal/test_registration.py#L12", "TestGlobalHelpers")</f>
        <v>TestGlobalHelpers</v>
      </c>
      <c r="B987" s="86" t="s">
        <v>1085</v>
      </c>
      <c r="C987" s="86"/>
      <c r="D987" s="86" t="s">
        <v>912</v>
      </c>
      <c r="E987" s="87"/>
      <c r="F987" s="88" t="b">
        <v>0</v>
      </c>
      <c r="G987" s="88" t="b">
        <f>IF(G969=TRUE,TRUE,FALSE)</f>
        <v>0</v>
      </c>
      <c r="H987" s="34" t="str">
        <f>IF(G987=TRUE,H969,"")</f>
        <v/>
      </c>
      <c r="I987" s="34"/>
      <c r="J987" s="14"/>
    </row>
    <row r="988" hidden="1">
      <c r="A988" s="90" t="str">
        <f>HYPERLINK("https://github.com/pytorch/pytorch/blob/f99ab991dcd3719ee25dd3377a53ea12e518308e/test/onnx/internal/test_registration.py#L50", "TestOverrideDict")</f>
        <v>TestOverrideDict</v>
      </c>
      <c r="B988" s="91" t="s">
        <v>1085</v>
      </c>
      <c r="C988" s="91"/>
      <c r="D988" s="91" t="s">
        <v>912</v>
      </c>
      <c r="E988" s="92"/>
      <c r="F988" s="93" t="b">
        <v>0</v>
      </c>
      <c r="G988" s="93" t="b">
        <f>IF(G969=TRUE,TRUE,FALSE)</f>
        <v>0</v>
      </c>
      <c r="H988" s="34" t="str">
        <f>IF(G988=TRUE,H969,"")</f>
        <v/>
      </c>
      <c r="I988" s="34"/>
      <c r="J988" s="14"/>
    </row>
    <row r="989" hidden="1">
      <c r="A989" s="85" t="str">
        <f>HYPERLINK("https://github.com/pytorch/pytorch/blob/f99ab991dcd3719ee25dd3377a53ea12e518308e/test/onnx/internal/test_registration.py#L170", "TestRegistrationDecorators")</f>
        <v>TestRegistrationDecorators</v>
      </c>
      <c r="B989" s="86" t="s">
        <v>1085</v>
      </c>
      <c r="C989" s="86"/>
      <c r="D989" s="86" t="s">
        <v>912</v>
      </c>
      <c r="E989" s="87"/>
      <c r="F989" s="88" t="b">
        <v>0</v>
      </c>
      <c r="G989" s="88" t="b">
        <f>IF(G969=TRUE,TRUE,FALSE)</f>
        <v>0</v>
      </c>
      <c r="H989" s="34" t="str">
        <f>IF(G989=TRUE,H969,"")</f>
        <v/>
      </c>
      <c r="I989" s="34"/>
      <c r="J989" s="14"/>
    </row>
    <row r="990" hidden="1">
      <c r="A990" s="90" t="str">
        <f>HYPERLINK("https://github.com/pytorch/pytorch/blob/f99ab991dcd3719ee25dd3377a53ea12e518308e/test/onnx/onnx_test_common.py#L79", "_TestONNXRuntime")</f>
        <v>_TestONNXRuntime</v>
      </c>
      <c r="B990" s="91" t="s">
        <v>1086</v>
      </c>
      <c r="C990" s="91"/>
      <c r="D990" s="91" t="s">
        <v>912</v>
      </c>
      <c r="E990" s="92"/>
      <c r="F990" s="93" t="b">
        <v>0</v>
      </c>
      <c r="G990" s="93" t="b">
        <f>IF(G969=TRUE,TRUE,FALSE)</f>
        <v>0</v>
      </c>
      <c r="H990" s="34" t="str">
        <f>IF(G990=TRUE,H969,"")</f>
        <v/>
      </c>
      <c r="I990" s="34"/>
      <c r="J990" s="14"/>
    </row>
    <row r="991" hidden="1">
      <c r="A991" s="85" t="str">
        <f>HYPERLINK("https://github.com/pytorch/pytorch/blob/f99ab991dcd3719ee25dd3377a53ea12e518308e/test/onnx/ops/test_ops.py#L15", "SchemaTest")</f>
        <v>SchemaTest</v>
      </c>
      <c r="B991" s="86" t="s">
        <v>1087</v>
      </c>
      <c r="C991" s="86"/>
      <c r="D991" s="86" t="s">
        <v>912</v>
      </c>
      <c r="E991" s="87"/>
      <c r="F991" s="88" t="b">
        <v>0</v>
      </c>
      <c r="G991" s="88" t="b">
        <f>IF(G969=TRUE,TRUE,FALSE)</f>
        <v>0</v>
      </c>
      <c r="H991" s="34" t="str">
        <f>IF(G991=TRUE,H969,"")</f>
        <v/>
      </c>
      <c r="I991" s="34"/>
      <c r="J991" s="14"/>
    </row>
    <row r="992" hidden="1">
      <c r="A992" s="90" t="str">
        <f>HYPERLINK("https://github.com/pytorch/pytorch/blob/f99ab991dcd3719ee25dd3377a53ea12e518308e/test/onnx/ops/test_ops.py#L93", "SymbolicOpsTest")</f>
        <v>SymbolicOpsTest</v>
      </c>
      <c r="B992" s="91" t="s">
        <v>1087</v>
      </c>
      <c r="C992" s="91"/>
      <c r="D992" s="91" t="s">
        <v>912</v>
      </c>
      <c r="E992" s="92"/>
      <c r="F992" s="93" t="b">
        <v>0</v>
      </c>
      <c r="G992" s="93" t="b">
        <f>IF(G969=TRUE,TRUE,FALSE)</f>
        <v>0</v>
      </c>
      <c r="H992" s="34" t="str">
        <f>IF(G992=TRUE,H969,"")</f>
        <v/>
      </c>
      <c r="I992" s="34"/>
      <c r="J992" s="14"/>
    </row>
    <row r="993" hidden="1">
      <c r="A993" s="85" t="str">
        <f>HYPERLINK("https://github.com/pytorch/pytorch/blob/f99ab991dcd3719ee25dd3377a53ea12e518308e/test/onnx/ops/test_ops.py#L420", "NativeOnnxOpsTest")</f>
        <v>NativeOnnxOpsTest</v>
      </c>
      <c r="B993" s="86" t="s">
        <v>1087</v>
      </c>
      <c r="C993" s="86"/>
      <c r="D993" s="86" t="s">
        <v>912</v>
      </c>
      <c r="E993" s="87"/>
      <c r="F993" s="88" t="b">
        <v>0</v>
      </c>
      <c r="G993" s="88" t="b">
        <f>IF(G969=TRUE,TRUE,FALSE)</f>
        <v>0</v>
      </c>
      <c r="H993" s="34" t="str">
        <f>IF(G993=TRUE,H969,"")</f>
        <v/>
      </c>
      <c r="I993" s="34"/>
      <c r="J993" s="14"/>
    </row>
    <row r="994" hidden="1">
      <c r="A994" s="90" t="str">
        <f>HYPERLINK("https://github.com/pytorch/pytorch/blob/f99ab991dcd3719ee25dd3377a53ea12e518308e/test/onnx/pytorch_test_common.py#L401", "ExportTestCase")</f>
        <v>ExportTestCase</v>
      </c>
      <c r="B994" s="91" t="s">
        <v>1088</v>
      </c>
      <c r="C994" s="91"/>
      <c r="D994" s="91" t="s">
        <v>912</v>
      </c>
      <c r="E994" s="92"/>
      <c r="F994" s="93" t="b">
        <v>0</v>
      </c>
      <c r="G994" s="93" t="b">
        <f>IF(G969=TRUE,TRUE,FALSE)</f>
        <v>0</v>
      </c>
      <c r="H994" s="34" t="str">
        <f>IF(G994=TRUE,H969,"")</f>
        <v/>
      </c>
      <c r="I994" s="34"/>
      <c r="J994" s="14"/>
    </row>
    <row r="995" hidden="1">
      <c r="A995" s="85" t="str">
        <f>HYPERLINK("https://github.com/pytorch/pytorch/blob/f99ab991dcd3719ee25dd3377a53ea12e518308e/test/onnx/test_autograd_funs.py#L11", "TestAutogradFuns")</f>
        <v>TestAutogradFuns</v>
      </c>
      <c r="B995" s="86" t="s">
        <v>1089</v>
      </c>
      <c r="C995" s="86"/>
      <c r="D995" s="86" t="s">
        <v>912</v>
      </c>
      <c r="E995" s="87"/>
      <c r="F995" s="88" t="b">
        <v>0</v>
      </c>
      <c r="G995" s="88" t="b">
        <f>IF(G969=TRUE,TRUE,FALSE)</f>
        <v>0</v>
      </c>
      <c r="H995" s="34" t="str">
        <f>IF(G995=TRUE,H969,"")</f>
        <v/>
      </c>
      <c r="I995" s="34"/>
      <c r="J995" s="14"/>
    </row>
    <row r="996" hidden="1">
      <c r="A996" s="90" t="str">
        <f>HYPERLINK("https://github.com/pytorch/pytorch/blob/f99ab991dcd3719ee25dd3377a53ea12e518308e/test/onnx/test_custom_ops.py#L12", "TestCustomAutogradFunction")</f>
        <v>TestCustomAutogradFunction</v>
      </c>
      <c r="B996" s="91" t="s">
        <v>1090</v>
      </c>
      <c r="C996" s="91"/>
      <c r="D996" s="91" t="s">
        <v>912</v>
      </c>
      <c r="E996" s="92"/>
      <c r="F996" s="93" t="b">
        <v>0</v>
      </c>
      <c r="G996" s="93" t="b">
        <f>IF(G969=TRUE,TRUE,FALSE)</f>
        <v>0</v>
      </c>
      <c r="H996" s="34" t="str">
        <f>IF(G996=TRUE,H969,"")</f>
        <v/>
      </c>
      <c r="I996" s="34"/>
      <c r="J996" s="14"/>
    </row>
    <row r="997" hidden="1">
      <c r="A997" s="85" t="str">
        <f>HYPERLINK("https://github.com/pytorch/pytorch/blob/f99ab991dcd3719ee25dd3377a53ea12e518308e/test/onnx/test_custom_ops.py#L85", "TestExportAsContribOps")</f>
        <v>TestExportAsContribOps</v>
      </c>
      <c r="B997" s="86" t="s">
        <v>1090</v>
      </c>
      <c r="C997" s="86"/>
      <c r="D997" s="86" t="s">
        <v>912</v>
      </c>
      <c r="E997" s="87"/>
      <c r="F997" s="88" t="b">
        <v>0</v>
      </c>
      <c r="G997" s="88" t="b">
        <f>IF(G969=TRUE,TRUE,FALSE)</f>
        <v>0</v>
      </c>
      <c r="H997" s="34" t="str">
        <f>IF(G997=TRUE,H969,"")</f>
        <v/>
      </c>
      <c r="I997" s="34"/>
      <c r="J997" s="14"/>
    </row>
    <row r="998" hidden="1">
      <c r="A998" s="90" t="str">
        <f>HYPERLINK("https://github.com/pytorch/pytorch/blob/f99ab991dcd3719ee25dd3377a53ea12e518308e/test/onnx/test_fx_type_promotion.py#L14", "TestGeneratedTypePromotionRuleSet")</f>
        <v>TestGeneratedTypePromotionRuleSet</v>
      </c>
      <c r="B998" s="91" t="s">
        <v>1091</v>
      </c>
      <c r="C998" s="91"/>
      <c r="D998" s="91" t="s">
        <v>912</v>
      </c>
      <c r="E998" s="92"/>
      <c r="F998" s="93" t="b">
        <v>0</v>
      </c>
      <c r="G998" s="93" t="b">
        <f>IF(G969=TRUE,TRUE,FALSE)</f>
        <v>0</v>
      </c>
      <c r="H998" s="34" t="str">
        <f>IF(G998=TRUE,H969,"")</f>
        <v/>
      </c>
      <c r="I998" s="34"/>
      <c r="J998" s="14"/>
    </row>
    <row r="999" hidden="1">
      <c r="A999" s="85" t="str">
        <f>HYPERLINK("https://github.com/pytorch/pytorch/blob/f99ab991dcd3719ee25dd3377a53ea12e518308e/test/onnx/test_lazy_import.py#L12", "TestLazyONNXPackages")</f>
        <v>TestLazyONNXPackages</v>
      </c>
      <c r="B999" s="86" t="s">
        <v>1092</v>
      </c>
      <c r="C999" s="86"/>
      <c r="D999" s="86" t="s">
        <v>912</v>
      </c>
      <c r="E999" s="87"/>
      <c r="F999" s="88" t="b">
        <v>0</v>
      </c>
      <c r="G999" s="88" t="b">
        <f>IF(G969=TRUE,TRUE,FALSE)</f>
        <v>0</v>
      </c>
      <c r="H999" s="34" t="str">
        <f>IF(G999=TRUE,H969,"")</f>
        <v/>
      </c>
      <c r="I999" s="34"/>
      <c r="J999" s="14"/>
    </row>
    <row r="1000" hidden="1">
      <c r="A1000" s="90" t="str">
        <f>HYPERLINK("https://github.com/pytorch/pytorch/blob/f99ab991dcd3719ee25dd3377a53ea12e518308e/test/onnx/test_models.py#L49", "TestModels")</f>
        <v>TestModels</v>
      </c>
      <c r="B1000" s="91" t="s">
        <v>1093</v>
      </c>
      <c r="C1000" s="91"/>
      <c r="D1000" s="91" t="s">
        <v>912</v>
      </c>
      <c r="E1000" s="92"/>
      <c r="F1000" s="93" t="b">
        <v>0</v>
      </c>
      <c r="G1000" s="93" t="b">
        <f>IF(G969=TRUE,TRUE,FALSE)</f>
        <v>0</v>
      </c>
      <c r="H1000" s="34" t="str">
        <f>IF(G1000=TRUE,H969,"")</f>
        <v/>
      </c>
      <c r="I1000" s="34"/>
      <c r="J1000" s="14"/>
    </row>
    <row r="1001" hidden="1">
      <c r="A1001" s="85" t="str">
        <f>HYPERLINK("https://github.com/pytorch/pytorch/blob/f99ab991dcd3719ee25dd3377a53ea12e518308e/test/onnx/test_models_onnxruntime.py#L203", "TestModelsONNXRuntime")</f>
        <v>TestModelsONNXRuntime</v>
      </c>
      <c r="B1001" s="86" t="s">
        <v>1094</v>
      </c>
      <c r="C1001" s="86"/>
      <c r="D1001" s="86" t="s">
        <v>912</v>
      </c>
      <c r="E1001" s="87"/>
      <c r="F1001" s="88" t="b">
        <v>0</v>
      </c>
      <c r="G1001" s="88" t="b">
        <f>IF(G969=TRUE,TRUE,FALSE)</f>
        <v>0</v>
      </c>
      <c r="H1001" s="34" t="str">
        <f>IF(G1001=TRUE,H969,"")</f>
        <v/>
      </c>
      <c r="I1001" s="34"/>
      <c r="J1001" s="14"/>
    </row>
    <row r="1002" hidden="1">
      <c r="A1002" s="90" t="str">
        <f>HYPERLINK("https://github.com/pytorch/pytorch/blob/f99ab991dcd3719ee25dd3377a53ea12e518308e/test/onnx/test_models_quantized_onnxruntime.py#L54", "TestQuantizedModelsONNXRuntime")</f>
        <v>TestQuantizedModelsONNXRuntime</v>
      </c>
      <c r="B1002" s="91" t="s">
        <v>1095</v>
      </c>
      <c r="C1002" s="91"/>
      <c r="D1002" s="91" t="s">
        <v>912</v>
      </c>
      <c r="E1002" s="92"/>
      <c r="F1002" s="93" t="b">
        <v>0</v>
      </c>
      <c r="G1002" s="93" t="b">
        <f>IF(G969=TRUE,TRUE,FALSE)</f>
        <v>0</v>
      </c>
      <c r="H1002" s="34" t="str">
        <f>IF(G1002=TRUE,H969,"")</f>
        <v/>
      </c>
      <c r="I1002" s="34"/>
      <c r="J1002" s="14"/>
    </row>
    <row r="1003" hidden="1">
      <c r="A1003" s="85" t="str">
        <f>HYPERLINK("https://github.com/pytorch/pytorch/blob/f99ab991dcd3719ee25dd3377a53ea12e518308e/test/onnx/test_onnx_opset.py#L76", "TestONNXOpset")</f>
        <v>TestONNXOpset</v>
      </c>
      <c r="B1003" s="86" t="s">
        <v>1096</v>
      </c>
      <c r="C1003" s="86"/>
      <c r="D1003" s="86" t="s">
        <v>912</v>
      </c>
      <c r="E1003" s="87"/>
      <c r="F1003" s="88" t="b">
        <v>0</v>
      </c>
      <c r="G1003" s="88" t="b">
        <f>IF(G969=TRUE,TRUE,FALSE)</f>
        <v>0</v>
      </c>
      <c r="H1003" s="34" t="str">
        <f>IF(G1003=TRUE,H969,"")</f>
        <v/>
      </c>
      <c r="I1003" s="34"/>
      <c r="J1003" s="14"/>
    </row>
    <row r="1004" hidden="1">
      <c r="A1004" s="90" t="str">
        <f>HYPERLINK("https://github.com/pytorch/pytorch/blob/f99ab991dcd3719ee25dd3377a53ea12e518308e/test/onnx/test_onnxscript_no_runtime.py#L17", "TestONNXScriptExport")</f>
        <v>TestONNXScriptExport</v>
      </c>
      <c r="B1004" s="91" t="s">
        <v>1097</v>
      </c>
      <c r="C1004" s="91"/>
      <c r="D1004" s="91" t="s">
        <v>912</v>
      </c>
      <c r="E1004" s="92"/>
      <c r="F1004" s="93" t="b">
        <v>0</v>
      </c>
      <c r="G1004" s="93" t="b">
        <f>IF(G969=TRUE,TRUE,FALSE)</f>
        <v>0</v>
      </c>
      <c r="H1004" s="34" t="str">
        <f>IF(G1004=TRUE,H969,"")</f>
        <v/>
      </c>
      <c r="I1004" s="34"/>
      <c r="J1004" s="14"/>
    </row>
    <row r="1005" hidden="1">
      <c r="A1005" s="85" t="str">
        <f>HYPERLINK("https://github.com/pytorch/pytorch/blob/f99ab991dcd3719ee25dd3377a53ea12e518308e/test/onnx/test_onnxscript_runtime.py#L16", "TestONNXScriptRuntime")</f>
        <v>TestONNXScriptRuntime</v>
      </c>
      <c r="B1005" s="86" t="s">
        <v>1098</v>
      </c>
      <c r="C1005" s="86"/>
      <c r="D1005" s="86" t="s">
        <v>912</v>
      </c>
      <c r="E1005" s="87"/>
      <c r="F1005" s="88" t="b">
        <v>0</v>
      </c>
      <c r="G1005" s="88" t="b">
        <f>IF(G969=TRUE,TRUE,FALSE)</f>
        <v>0</v>
      </c>
      <c r="H1005" s="34" t="str">
        <f>IF(G1005=TRUE,H969,"")</f>
        <v/>
      </c>
      <c r="I1005" s="34"/>
      <c r="J1005" s="14"/>
    </row>
    <row r="1006" hidden="1">
      <c r="A1006" s="90" t="str">
        <f>HYPERLINK("https://github.com/pytorch/pytorch/blob/f99ab991dcd3719ee25dd3377a53ea12e518308e/test/onnx/test_op_consistency.py#L267", "TestOnnxModelOutputConsistency")</f>
        <v>TestOnnxModelOutputConsistency</v>
      </c>
      <c r="B1006" s="91" t="s">
        <v>1099</v>
      </c>
      <c r="C1006" s="91"/>
      <c r="D1006" s="91" t="s">
        <v>912</v>
      </c>
      <c r="E1006" s="92"/>
      <c r="F1006" s="93" t="b">
        <v>0</v>
      </c>
      <c r="G1006" s="93" t="b">
        <f>IF(G969=TRUE,TRUE,FALSE)</f>
        <v>0</v>
      </c>
      <c r="H1006" s="34" t="str">
        <f>IF(G1006=TRUE,H969,"")</f>
        <v/>
      </c>
      <c r="I1006" s="34"/>
      <c r="J1006" s="14"/>
    </row>
    <row r="1007" hidden="1">
      <c r="A1007" s="85" t="str">
        <f>HYPERLINK("https://github.com/pytorch/pytorch/blob/f99ab991dcd3719ee25dd3377a53ea12e518308e/test/onnx/test_pytorch_onnx_onnxruntime.py#L169", "TestONNXRuntime")</f>
        <v>TestONNXRuntime</v>
      </c>
      <c r="B1007" s="86" t="s">
        <v>1100</v>
      </c>
      <c r="C1007" s="86"/>
      <c r="D1007" s="86" t="s">
        <v>912</v>
      </c>
      <c r="E1007" s="87"/>
      <c r="F1007" s="88" t="b">
        <v>0</v>
      </c>
      <c r="G1007" s="88" t="b">
        <f>IF(G969=TRUE,TRUE,FALSE)</f>
        <v>0</v>
      </c>
      <c r="H1007" s="34" t="str">
        <f>IF(G1007=TRUE,H969,"")</f>
        <v/>
      </c>
      <c r="I1007" s="34"/>
      <c r="J1007" s="14"/>
    </row>
    <row r="1008" hidden="1">
      <c r="A1008" s="90" t="str">
        <f>HYPERLINK("https://github.com/pytorch/pytorch/blob/f99ab991dcd3719ee25dd3377a53ea12e518308e/test/onnx/test_pytorch_onnx_onnxruntime_cuda.py#L28", "TestONNXRuntime_cuda")</f>
        <v>TestONNXRuntime_cuda</v>
      </c>
      <c r="B1008" s="91" t="s">
        <v>1101</v>
      </c>
      <c r="C1008" s="91"/>
      <c r="D1008" s="91" t="s">
        <v>912</v>
      </c>
      <c r="E1008" s="92"/>
      <c r="F1008" s="93" t="b">
        <v>0</v>
      </c>
      <c r="G1008" s="93" t="b">
        <f>IF(G969=TRUE,TRUE,FALSE)</f>
        <v>0</v>
      </c>
      <c r="H1008" s="34" t="str">
        <f>IF(G1008=TRUE,H969,"")</f>
        <v/>
      </c>
      <c r="I1008" s="34"/>
      <c r="J1008" s="14"/>
    </row>
    <row r="1009" hidden="1">
      <c r="A1009" s="85" t="str">
        <f>HYPERLINK("https://github.com/pytorch/pytorch/blob/f99ab991dcd3719ee25dd3377a53ea12e518308e/test/onnx/test_pytorch_onnx_shape_inference.py#L45", "TestONNXShapeInference")</f>
        <v>TestONNXShapeInference</v>
      </c>
      <c r="B1009" s="86" t="s">
        <v>1102</v>
      </c>
      <c r="C1009" s="86"/>
      <c r="D1009" s="86" t="s">
        <v>912</v>
      </c>
      <c r="E1009" s="87"/>
      <c r="F1009" s="88" t="b">
        <v>0</v>
      </c>
      <c r="G1009" s="88" t="b">
        <f>IF(G969=TRUE,TRUE,FALSE)</f>
        <v>0</v>
      </c>
      <c r="H1009" s="34" t="str">
        <f>IF(G1009=TRUE,H969,"")</f>
        <v/>
      </c>
      <c r="I1009" s="34"/>
      <c r="J1009" s="14"/>
    </row>
    <row r="1010" hidden="1">
      <c r="A1010" s="90" t="str">
        <f>HYPERLINK("https://github.com/pytorch/pytorch/blob/f99ab991dcd3719ee25dd3377a53ea12e518308e/test/onnx/test_pytorch_onnx_shape_inference.py#L374", "TestONNXCustomOpShapeInference")</f>
        <v>TestONNXCustomOpShapeInference</v>
      </c>
      <c r="B1010" s="91" t="s">
        <v>1102</v>
      </c>
      <c r="C1010" s="91"/>
      <c r="D1010" s="91" t="s">
        <v>912</v>
      </c>
      <c r="E1010" s="92"/>
      <c r="F1010" s="93" t="b">
        <v>0</v>
      </c>
      <c r="G1010" s="93" t="b">
        <f>IF(G969=TRUE,TRUE,FALSE)</f>
        <v>0</v>
      </c>
      <c r="H1010" s="34" t="str">
        <f>IF(G1010=TRUE,H969,"")</f>
        <v/>
      </c>
      <c r="I1010" s="34"/>
      <c r="J1010" s="14"/>
    </row>
    <row r="1011" hidden="1">
      <c r="A1011" s="85" t="str">
        <f>HYPERLINK("https://github.com/pytorch/pytorch/blob/f99ab991dcd3719ee25dd3377a53ea12e518308e/test/onnx/test_symbolic_helper.py#L10", "TestHelperFunctions")</f>
        <v>TestHelperFunctions</v>
      </c>
      <c r="B1011" s="86" t="s">
        <v>1103</v>
      </c>
      <c r="C1011" s="86"/>
      <c r="D1011" s="86" t="s">
        <v>912</v>
      </c>
      <c r="E1011" s="87"/>
      <c r="F1011" s="88" t="b">
        <v>0</v>
      </c>
      <c r="G1011" s="88" t="b">
        <f>IF(G969=TRUE,TRUE,FALSE)</f>
        <v>0</v>
      </c>
      <c r="H1011" s="34" t="str">
        <f>IF(G1011=TRUE,H969,"")</f>
        <v/>
      </c>
      <c r="I1011" s="34"/>
      <c r="J1011" s="14"/>
    </row>
    <row r="1012" hidden="1">
      <c r="A1012" s="90" t="str">
        <f>HYPERLINK("https://github.com/pytorch/pytorch/blob/f99ab991dcd3719ee25dd3377a53ea12e518308e/test/onnx/test_utility_funs.py#L57", "_BaseTestCase")</f>
        <v>_BaseTestCase</v>
      </c>
      <c r="B1012" s="91" t="s">
        <v>1104</v>
      </c>
      <c r="C1012" s="91"/>
      <c r="D1012" s="91" t="s">
        <v>912</v>
      </c>
      <c r="E1012" s="92"/>
      <c r="F1012" s="93" t="b">
        <v>0</v>
      </c>
      <c r="G1012" s="93" t="b">
        <f>IF(G969=TRUE,TRUE,FALSE)</f>
        <v>0</v>
      </c>
      <c r="H1012" s="34" t="str">
        <f>IF(G1012=TRUE,H969,"")</f>
        <v/>
      </c>
      <c r="I1012" s="34"/>
      <c r="J1012" s="14"/>
    </row>
    <row r="1013" hidden="1">
      <c r="A1013" s="85" t="str">
        <f>HYPERLINK("https://github.com/pytorch/pytorch/blob/f99ab991dcd3719ee25dd3377a53ea12e518308e/test/onnx/test_utility_funs.py#L99", "TestUtilityFuns")</f>
        <v>TestUtilityFuns</v>
      </c>
      <c r="B1013" s="86" t="s">
        <v>1104</v>
      </c>
      <c r="C1013" s="86"/>
      <c r="D1013" s="86" t="s">
        <v>912</v>
      </c>
      <c r="E1013" s="87"/>
      <c r="F1013" s="88" t="b">
        <v>0</v>
      </c>
      <c r="G1013" s="88" t="b">
        <f>IF(G969=TRUE,TRUE,FALSE)</f>
        <v>0</v>
      </c>
      <c r="H1013" s="34" t="str">
        <f>IF(G1013=TRUE,H969,"")</f>
        <v/>
      </c>
      <c r="I1013" s="34"/>
      <c r="J1013" s="14"/>
    </row>
    <row r="1014" hidden="1">
      <c r="A1014" s="90" t="str">
        <f>HYPERLINK("https://github.com/pytorch/pytorch/blob/f99ab991dcd3719ee25dd3377a53ea12e518308e/test/onnx/torchlib/test_ops.py#L102", "TestFunctionValidity")</f>
        <v>TestFunctionValidity</v>
      </c>
      <c r="B1014" s="91" t="s">
        <v>1105</v>
      </c>
      <c r="C1014" s="91"/>
      <c r="D1014" s="91" t="s">
        <v>912</v>
      </c>
      <c r="E1014" s="92"/>
      <c r="F1014" s="93" t="b">
        <v>0</v>
      </c>
      <c r="G1014" s="93" t="b">
        <f>IF(G969=TRUE,TRUE,FALSE)</f>
        <v>0</v>
      </c>
      <c r="H1014" s="34" t="str">
        <f>IF(G1014=TRUE,H969,"")</f>
        <v/>
      </c>
      <c r="I1014" s="34"/>
      <c r="J1014" s="14"/>
    </row>
    <row r="1015" hidden="1">
      <c r="A1015" s="85" t="str">
        <f>HYPERLINK("https://github.com/pytorch/pytorch/blob/f99ab991dcd3719ee25dd3377a53ea12e518308e/test/onnx/torchlib/test_ops.py#L288", "TestOutputConsistencyFullGraph")</f>
        <v>TestOutputConsistencyFullGraph</v>
      </c>
      <c r="B1015" s="86" t="s">
        <v>1105</v>
      </c>
      <c r="C1015" s="86"/>
      <c r="D1015" s="86" t="s">
        <v>912</v>
      </c>
      <c r="E1015" s="87"/>
      <c r="F1015" s="88" t="b">
        <v>0</v>
      </c>
      <c r="G1015" s="88" t="b">
        <f>IF(G969=TRUE,TRUE,FALSE)</f>
        <v>0</v>
      </c>
      <c r="H1015" s="34" t="str">
        <f>IF(G1015=TRUE,H969,"")</f>
        <v/>
      </c>
      <c r="I1015" s="34"/>
      <c r="J1015" s="14"/>
    </row>
    <row r="1016" hidden="1">
      <c r="A1016" s="9" t="s">
        <v>1106</v>
      </c>
      <c r="B1016" s="10"/>
      <c r="C1016" s="10"/>
      <c r="D1016" s="10"/>
      <c r="E1016" s="11"/>
      <c r="F1016" s="12"/>
      <c r="G1016" s="12"/>
      <c r="H1016" s="12"/>
      <c r="I1016" s="12"/>
      <c r="J1016" s="14"/>
    </row>
    <row r="1017" hidden="1">
      <c r="A1017" s="15" t="s">
        <v>1107</v>
      </c>
      <c r="B1017" s="16"/>
      <c r="C1017" s="16"/>
      <c r="D1017" s="16"/>
      <c r="E1017" s="17"/>
      <c r="F1017" s="18" t="b">
        <v>1</v>
      </c>
      <c r="G1017" s="18" t="b">
        <v>0</v>
      </c>
      <c r="H1017" s="20"/>
      <c r="I1017" s="20"/>
      <c r="J1017" s="14"/>
    </row>
    <row r="1018" hidden="1">
      <c r="A1018" s="90" t="str">
        <f>HYPERLINK("https://github.com/pytorch/pytorch/blob/f99ab991dcd3719ee25dd3377a53ea12e518308e/test/test_sparse.py#L179", "TestSparseLegacyAndDeprecation")</f>
        <v>TestSparseLegacyAndDeprecation</v>
      </c>
      <c r="B1018" s="91" t="s">
        <v>1108</v>
      </c>
      <c r="C1018" s="91"/>
      <c r="D1018" s="91" t="s">
        <v>912</v>
      </c>
      <c r="E1018" s="92"/>
      <c r="F1018" s="93" t="b">
        <v>0</v>
      </c>
      <c r="G1018" s="93" t="b">
        <f>IF(G1017=TRUE,TRUE,FALSE)</f>
        <v>0</v>
      </c>
      <c r="H1018" s="34" t="str">
        <f>IF(G1018=TRUE,H1017,"")</f>
        <v/>
      </c>
      <c r="I1018" s="34"/>
      <c r="J1018" s="14"/>
    </row>
    <row r="1019" hidden="1">
      <c r="A1019" s="85" t="str">
        <f>HYPERLINK("https://github.com/pytorch/pytorch/blob/f99ab991dcd3719ee25dd3377a53ea12e518308e/test/test_sparse.py#L233", "TestSparseBase")</f>
        <v>TestSparseBase</v>
      </c>
      <c r="B1019" s="86" t="s">
        <v>1108</v>
      </c>
      <c r="C1019" s="86"/>
      <c r="D1019" s="86" t="s">
        <v>912</v>
      </c>
      <c r="E1019" s="87"/>
      <c r="F1019" s="88" t="b">
        <v>0</v>
      </c>
      <c r="G1019" s="88" t="b">
        <f>IF(G1017=TRUE,TRUE,FALSE)</f>
        <v>0</v>
      </c>
      <c r="H1019" s="34" t="str">
        <f>IF(G1019=TRUE,H1017,"")</f>
        <v/>
      </c>
      <c r="I1019" s="34"/>
      <c r="J1019" s="14"/>
    </row>
    <row r="1020" hidden="1">
      <c r="A1020" s="90" t="str">
        <f>HYPERLINK("https://github.com/pytorch/pytorch/blob/f99ab991dcd3719ee25dd3377a53ea12e518308e/test/test_sparse.py#L241", "TestSparse")</f>
        <v>TestSparse</v>
      </c>
      <c r="B1020" s="91" t="s">
        <v>1108</v>
      </c>
      <c r="C1020" s="91"/>
      <c r="D1020" s="91" t="s">
        <v>912</v>
      </c>
      <c r="E1020" s="92"/>
      <c r="F1020" s="93" t="b">
        <v>0</v>
      </c>
      <c r="G1020" s="93" t="b">
        <f>IF(G1017=TRUE,TRUE,FALSE)</f>
        <v>0</v>
      </c>
      <c r="H1020" s="34" t="str">
        <f>IF(G1020=TRUE,H1017,"")</f>
        <v/>
      </c>
      <c r="I1020" s="34"/>
      <c r="J1020" s="14"/>
    </row>
    <row r="1021" hidden="1">
      <c r="A1021" s="85" t="str">
        <f>HYPERLINK("https://github.com/pytorch/pytorch/blob/f99ab991dcd3719ee25dd3377a53ea12e518308e/test/test_sparse.py#L4269", "TestSparseOneOff")</f>
        <v>TestSparseOneOff</v>
      </c>
      <c r="B1021" s="86" t="s">
        <v>1108</v>
      </c>
      <c r="C1021" s="86"/>
      <c r="D1021" s="86" t="s">
        <v>912</v>
      </c>
      <c r="E1021" s="87"/>
      <c r="F1021" s="88" t="b">
        <v>0</v>
      </c>
      <c r="G1021" s="88" t="b">
        <f>IF(G1017=TRUE,TRUE,FALSE)</f>
        <v>0</v>
      </c>
      <c r="H1021" s="34" t="str">
        <f>IF(G1021=TRUE,H1017,"")</f>
        <v/>
      </c>
      <c r="I1021" s="34"/>
      <c r="J1021" s="14"/>
    </row>
    <row r="1022" hidden="1">
      <c r="A1022" s="90" t="str">
        <f>HYPERLINK("https://github.com/pytorch/pytorch/blob/f99ab991dcd3719ee25dd3377a53ea12e518308e/test/test_sparse.py#L4327", "TestSparseUnaryUfuncs")</f>
        <v>TestSparseUnaryUfuncs</v>
      </c>
      <c r="B1022" s="91" t="s">
        <v>1108</v>
      </c>
      <c r="C1022" s="91"/>
      <c r="D1022" s="91" t="s">
        <v>912</v>
      </c>
      <c r="E1022" s="92"/>
      <c r="F1022" s="93" t="b">
        <v>0</v>
      </c>
      <c r="G1022" s="93" t="b">
        <f>IF(G1017=TRUE,TRUE,FALSE)</f>
        <v>0</v>
      </c>
      <c r="H1022" s="34" t="str">
        <f>IF(G1022=TRUE,H1017,"")</f>
        <v/>
      </c>
      <c r="I1022" s="34"/>
      <c r="J1022" s="14"/>
    </row>
    <row r="1023" hidden="1">
      <c r="A1023" s="85" t="str">
        <f>HYPERLINK("https://github.com/pytorch/pytorch/blob/f99ab991dcd3719ee25dd3377a53ea12e518308e/test/test_sparse.py#L4421", "TestSparseMaskedReductions")</f>
        <v>TestSparseMaskedReductions</v>
      </c>
      <c r="B1023" s="86" t="s">
        <v>1108</v>
      </c>
      <c r="C1023" s="86"/>
      <c r="D1023" s="86" t="s">
        <v>912</v>
      </c>
      <c r="E1023" s="87"/>
      <c r="F1023" s="88" t="b">
        <v>0</v>
      </c>
      <c r="G1023" s="88" t="b">
        <f>IF(G1017=TRUE,TRUE,FALSE)</f>
        <v>0</v>
      </c>
      <c r="H1023" s="34" t="str">
        <f>IF(G1023=TRUE,H1017,"")</f>
        <v/>
      </c>
      <c r="I1023" s="34"/>
      <c r="J1023" s="14"/>
    </row>
    <row r="1024" hidden="1">
      <c r="A1024" s="90" t="str">
        <f>HYPERLINK("https://github.com/pytorch/pytorch/blob/f99ab991dcd3719ee25dd3377a53ea12e518308e/test/test_sparse.py#L4474", "TestSparseMeta")</f>
        <v>TestSparseMeta</v>
      </c>
      <c r="B1024" s="91" t="s">
        <v>1108</v>
      </c>
      <c r="C1024" s="91"/>
      <c r="D1024" s="91" t="s">
        <v>912</v>
      </c>
      <c r="E1024" s="92"/>
      <c r="F1024" s="93" t="b">
        <v>0</v>
      </c>
      <c r="G1024" s="93" t="b">
        <f>IF(G1017=TRUE,TRUE,FALSE)</f>
        <v>0</v>
      </c>
      <c r="H1024" s="34" t="str">
        <f>IF(G1024=TRUE,H1017,"")</f>
        <v/>
      </c>
      <c r="I1024" s="34"/>
      <c r="J1024" s="14"/>
    </row>
    <row r="1025" hidden="1">
      <c r="A1025" s="85" t="str">
        <f>HYPERLINK("https://github.com/pytorch/pytorch/blob/f99ab991dcd3719ee25dd3377a53ea12e518308e/test/test_sparse.py#L4743", "TestSparseAny")</f>
        <v>TestSparseAny</v>
      </c>
      <c r="B1025" s="86" t="s">
        <v>1108</v>
      </c>
      <c r="C1025" s="86"/>
      <c r="D1025" s="86" t="s">
        <v>912</v>
      </c>
      <c r="E1025" s="87"/>
      <c r="F1025" s="88" t="b">
        <v>0</v>
      </c>
      <c r="G1025" s="88" t="b">
        <f>IF(G1017=TRUE,TRUE,FALSE)</f>
        <v>0</v>
      </c>
      <c r="H1025" s="34" t="str">
        <f>IF(G1025=TRUE,H1017,"")</f>
        <v/>
      </c>
      <c r="I1025" s="34"/>
      <c r="J1025" s="14"/>
    </row>
    <row r="1026" hidden="1">
      <c r="A1026" s="90" t="str">
        <f>HYPERLINK("https://github.com/pytorch/pytorch/blob/f99ab991dcd3719ee25dd3377a53ea12e518308e/test/test_sparse_csr.py#L130", "TestSparseCSRSampler")</f>
        <v>TestSparseCSRSampler</v>
      </c>
      <c r="B1026" s="91" t="s">
        <v>1109</v>
      </c>
      <c r="C1026" s="91"/>
      <c r="D1026" s="91" t="s">
        <v>912</v>
      </c>
      <c r="E1026" s="92"/>
      <c r="F1026" s="93" t="b">
        <v>0</v>
      </c>
      <c r="G1026" s="93" t="b">
        <f>IF(G1017=TRUE,TRUE,FALSE)</f>
        <v>0</v>
      </c>
      <c r="H1026" s="34" t="str">
        <f>IF(G1026=TRUE,H1017,"")</f>
        <v/>
      </c>
      <c r="I1026" s="34"/>
      <c r="J1026" s="14"/>
    </row>
    <row r="1027" hidden="1">
      <c r="A1027" s="85" t="str">
        <f>HYPERLINK("https://github.com/pytorch/pytorch/blob/f99ab991dcd3719ee25dd3377a53ea12e518308e/test/test_sparse_csr.py#L187", "TestSparseCompressed")</f>
        <v>TestSparseCompressed</v>
      </c>
      <c r="B1027" s="86" t="s">
        <v>1109</v>
      </c>
      <c r="C1027" s="86"/>
      <c r="D1027" s="86" t="s">
        <v>912</v>
      </c>
      <c r="E1027" s="87"/>
      <c r="F1027" s="88" t="b">
        <v>0</v>
      </c>
      <c r="G1027" s="88" t="b">
        <f>IF(G1017=TRUE,TRUE,FALSE)</f>
        <v>0</v>
      </c>
      <c r="H1027" s="34" t="str">
        <f>IF(G1027=TRUE,H1017,"")</f>
        <v/>
      </c>
      <c r="I1027" s="34"/>
      <c r="J1027" s="14"/>
    </row>
    <row r="1028" hidden="1">
      <c r="A1028" s="90" t="str">
        <f>HYPERLINK("https://github.com/pytorch/pytorch/blob/f99ab991dcd3719ee25dd3377a53ea12e518308e/test/test_sparse_csr.py#L1031", "TestSparseCSR")</f>
        <v>TestSparseCSR</v>
      </c>
      <c r="B1028" s="91" t="s">
        <v>1109</v>
      </c>
      <c r="C1028" s="91"/>
      <c r="D1028" s="91" t="s">
        <v>912</v>
      </c>
      <c r="E1028" s="92"/>
      <c r="F1028" s="93" t="b">
        <v>0</v>
      </c>
      <c r="G1028" s="93" t="b">
        <f>IF(G1017=TRUE,TRUE,FALSE)</f>
        <v>0</v>
      </c>
      <c r="H1028" s="34" t="str">
        <f>IF(G1028=TRUE,H1017,"")</f>
        <v/>
      </c>
      <c r="I1028" s="34"/>
      <c r="J1028" s="14"/>
    </row>
    <row r="1029" hidden="1">
      <c r="A1029" s="85" t="str">
        <f>HYPERLINK("https://github.com/pytorch/pytorch/blob/f99ab991dcd3719ee25dd3377a53ea12e518308e/test/test_sparse_csr.py#L3511", "TestSparseCompressedTritonKernels")</f>
        <v>TestSparseCompressedTritonKernels</v>
      </c>
      <c r="B1029" s="86" t="s">
        <v>1109</v>
      </c>
      <c r="C1029" s="86"/>
      <c r="D1029" s="86" t="s">
        <v>912</v>
      </c>
      <c r="E1029" s="87"/>
      <c r="F1029" s="88" t="b">
        <v>0</v>
      </c>
      <c r="G1029" s="88" t="b">
        <f>IF(G1017=TRUE,TRUE,FALSE)</f>
        <v>0</v>
      </c>
      <c r="H1029" s="34" t="str">
        <f>IF(G1029=TRUE,H1017,"")</f>
        <v/>
      </c>
      <c r="I1029" s="34"/>
      <c r="J1029" s="14"/>
    </row>
    <row r="1030" hidden="1">
      <c r="A1030" s="90" t="str">
        <f>HYPERLINK("https://github.com/pytorch/pytorch/blob/f99ab991dcd3719ee25dd3377a53ea12e518308e/test/test_sparse_semi_structured.py#L174", "SparseSemiStructuredTensorCompileTest")</f>
        <v>SparseSemiStructuredTensorCompileTest</v>
      </c>
      <c r="B1030" s="91" t="s">
        <v>1110</v>
      </c>
      <c r="C1030" s="91"/>
      <c r="D1030" s="91" t="s">
        <v>912</v>
      </c>
      <c r="E1030" s="92"/>
      <c r="F1030" s="93" t="b">
        <v>0</v>
      </c>
      <c r="G1030" s="93" t="b">
        <f>IF(G1017=TRUE,TRUE,FALSE)</f>
        <v>0</v>
      </c>
      <c r="H1030" s="34" t="str">
        <f>IF(G1030=TRUE,H1017,"")</f>
        <v/>
      </c>
      <c r="I1030" s="34"/>
      <c r="J1030" s="14"/>
    </row>
    <row r="1031" hidden="1">
      <c r="A1031" s="85" t="str">
        <f>HYPERLINK("https://github.com/pytorch/pytorch/blob/f99ab991dcd3719ee25dd3377a53ea12e518308e/test/test_sparse_semi_structured.py#L270", "TestSparseSemiStructured")</f>
        <v>TestSparseSemiStructured</v>
      </c>
      <c r="B1031" s="86" t="s">
        <v>1110</v>
      </c>
      <c r="C1031" s="86"/>
      <c r="D1031" s="86" t="s">
        <v>912</v>
      </c>
      <c r="E1031" s="87"/>
      <c r="F1031" s="88" t="b">
        <v>0</v>
      </c>
      <c r="G1031" s="88" t="b">
        <f>IF(G1017=TRUE,TRUE,FALSE)</f>
        <v>0</v>
      </c>
      <c r="H1031" s="34" t="str">
        <f>IF(G1031=TRUE,H1017,"")</f>
        <v/>
      </c>
      <c r="I1031" s="34"/>
      <c r="J1031" s="14"/>
    </row>
    <row r="1032" hidden="1">
      <c r="A1032" s="90" t="str">
        <f>HYPERLINK("https://github.com/pytorch/pytorch/blob/f99ab991dcd3719ee25dd3377a53ea12e518308e/test/test_sparse_semi_structured.py#L580", "TestSparseSemiStructuredTraining")</f>
        <v>TestSparseSemiStructuredTraining</v>
      </c>
      <c r="B1032" s="91" t="s">
        <v>1110</v>
      </c>
      <c r="C1032" s="91"/>
      <c r="D1032" s="91" t="s">
        <v>912</v>
      </c>
      <c r="E1032" s="92"/>
      <c r="F1032" s="93" t="b">
        <v>0</v>
      </c>
      <c r="G1032" s="93" t="b">
        <f>IF(G1017=TRUE,TRUE,FALSE)</f>
        <v>0</v>
      </c>
      <c r="H1032" s="34" t="str">
        <f>IF(G1032=TRUE,H1017,"")</f>
        <v/>
      </c>
      <c r="I1032" s="34"/>
      <c r="J1032" s="14"/>
    </row>
    <row r="1033" hidden="1">
      <c r="A1033" s="85" t="str">
        <f>HYPERLINK("https://github.com/pytorch/pytorch/blob/f99ab991dcd3719ee25dd3377a53ea12e518308e/test/test_sparse_semi_structured.py#L926", "TestSparseSemiStructuredCUTLASS")</f>
        <v>TestSparseSemiStructuredCUTLASS</v>
      </c>
      <c r="B1033" s="86" t="s">
        <v>1110</v>
      </c>
      <c r="C1033" s="86"/>
      <c r="D1033" s="86" t="s">
        <v>912</v>
      </c>
      <c r="E1033" s="87"/>
      <c r="F1033" s="88" t="b">
        <v>0</v>
      </c>
      <c r="G1033" s="88" t="b">
        <f>IF(G1017=TRUE,TRUE,FALSE)</f>
        <v>0</v>
      </c>
      <c r="H1033" s="34" t="str">
        <f>IF(G1033=TRUE,H1017,"")</f>
        <v/>
      </c>
      <c r="I1033" s="34"/>
      <c r="J1033" s="14"/>
    </row>
    <row r="1034" hidden="1">
      <c r="A1034" s="90" t="str">
        <f>HYPERLINK("https://github.com/pytorch/pytorch/blob/f99ab991dcd3719ee25dd3377a53ea12e518308e/test/test_sparse_semi_structured.py#L1122", "TestSparseSemiStructuredCUSPARSELT")</f>
        <v>TestSparseSemiStructuredCUSPARSELT</v>
      </c>
      <c r="B1034" s="91" t="s">
        <v>1110</v>
      </c>
      <c r="C1034" s="91"/>
      <c r="D1034" s="91" t="s">
        <v>912</v>
      </c>
      <c r="E1034" s="92"/>
      <c r="F1034" s="93" t="b">
        <v>0</v>
      </c>
      <c r="G1034" s="93" t="b">
        <f>IF(G1017=TRUE,TRUE,FALSE)</f>
        <v>0</v>
      </c>
      <c r="H1034" s="34" t="str">
        <f>IF(G1034=TRUE,H1017,"")</f>
        <v/>
      </c>
      <c r="I1034" s="34"/>
      <c r="J1034" s="14"/>
    </row>
    <row r="1035" hidden="1">
      <c r="A1035" s="85" t="str">
        <f>HYPERLINK("https://github.com/pytorch/pytorch/blob/f99ab991dcd3719ee25dd3377a53ea12e518308e/test/jit/test_sparse.py#L15", "TestSparse")</f>
        <v>TestSparse</v>
      </c>
      <c r="B1035" s="86" t="s">
        <v>1111</v>
      </c>
      <c r="C1035" s="86"/>
      <c r="D1035" s="86" t="s">
        <v>912</v>
      </c>
      <c r="E1035" s="87"/>
      <c r="F1035" s="88" t="b">
        <v>0</v>
      </c>
      <c r="G1035" s="88" t="b">
        <f>IF(G1017=TRUE,TRUE,FALSE)</f>
        <v>0</v>
      </c>
      <c r="H1035" s="34" t="str">
        <f>IF(G1035=TRUE,H1017,"")</f>
        <v/>
      </c>
      <c r="I1035" s="34"/>
      <c r="J1035" s="14"/>
    </row>
    <row r="1036" hidden="1">
      <c r="A1036" s="15" t="s">
        <v>1112</v>
      </c>
      <c r="B1036" s="16"/>
      <c r="C1036" s="16"/>
      <c r="D1036" s="16"/>
      <c r="E1036" s="17"/>
      <c r="F1036" s="18" t="b">
        <v>1</v>
      </c>
      <c r="G1036" s="18" t="b">
        <v>0</v>
      </c>
      <c r="H1036" s="20"/>
      <c r="I1036" s="20"/>
      <c r="J1036" s="14"/>
    </row>
    <row r="1037" hidden="1">
      <c r="A1037" s="90" t="str">
        <f>HYPERLINK("https://github.com/pytorch/pytorch/blob/f99ab991dcd3719ee25dd3377a53ea12e518308e/test/test_nestedtensor.py#L321", "TestNestedTensor")</f>
        <v>TestNestedTensor</v>
      </c>
      <c r="B1037" s="91" t="s">
        <v>1113</v>
      </c>
      <c r="C1037" s="91"/>
      <c r="D1037" s="91" t="s">
        <v>912</v>
      </c>
      <c r="E1037" s="92"/>
      <c r="F1037" s="93" t="b">
        <v>0</v>
      </c>
      <c r="G1037" s="93" t="b">
        <f>IF(G1036=TRUE,TRUE,FALSE)</f>
        <v>0</v>
      </c>
      <c r="H1037" s="34" t="str">
        <f>IF(G1037=TRUE,H1036,"")</f>
        <v/>
      </c>
      <c r="I1037" s="34"/>
      <c r="J1037" s="14"/>
    </row>
    <row r="1038" hidden="1">
      <c r="A1038" s="85" t="str">
        <f>HYPERLINK("https://github.com/pytorch/pytorch/blob/f99ab991dcd3719ee25dd3377a53ea12e518308e/test/test_nestedtensor.py#L911", "TestNestedTensorDeviceType")</f>
        <v>TestNestedTensorDeviceType</v>
      </c>
      <c r="B1038" s="86" t="s">
        <v>1113</v>
      </c>
      <c r="C1038" s="86"/>
      <c r="D1038" s="86" t="s">
        <v>912</v>
      </c>
      <c r="E1038" s="87"/>
      <c r="F1038" s="88" t="b">
        <v>0</v>
      </c>
      <c r="G1038" s="88" t="b">
        <f>IF(G1036=TRUE,TRUE,FALSE)</f>
        <v>0</v>
      </c>
      <c r="H1038" s="34" t="str">
        <f>IF(G1038=TRUE,H1036,"")</f>
        <v/>
      </c>
      <c r="I1038" s="34"/>
      <c r="J1038" s="14"/>
    </row>
    <row r="1039" hidden="1">
      <c r="A1039" s="90" t="str">
        <f>HYPERLINK("https://github.com/pytorch/pytorch/blob/f99ab991dcd3719ee25dd3377a53ea12e518308e/test/test_nestedtensor.py#L3135", "TestNestedTensorAutograd")</f>
        <v>TestNestedTensorAutograd</v>
      </c>
      <c r="B1039" s="91" t="s">
        <v>1113</v>
      </c>
      <c r="C1039" s="91"/>
      <c r="D1039" s="91" t="s">
        <v>912</v>
      </c>
      <c r="E1039" s="92"/>
      <c r="F1039" s="93" t="b">
        <v>0</v>
      </c>
      <c r="G1039" s="93" t="b">
        <f>IF(G1036=TRUE,TRUE,FALSE)</f>
        <v>0</v>
      </c>
      <c r="H1039" s="34" t="str">
        <f>IF(G1039=TRUE,H1036,"")</f>
        <v/>
      </c>
      <c r="I1039" s="34"/>
      <c r="J1039" s="14"/>
    </row>
    <row r="1040" hidden="1">
      <c r="A1040" s="85" t="str">
        <f>HYPERLINK("https://github.com/pytorch/pytorch/blob/f99ab991dcd3719ee25dd3377a53ea12e518308e/test/test_nestedtensor.py#L3957", "TestNestedTensorSubclass")</f>
        <v>TestNestedTensorSubclass</v>
      </c>
      <c r="B1040" s="86" t="s">
        <v>1113</v>
      </c>
      <c r="C1040" s="86"/>
      <c r="D1040" s="86" t="s">
        <v>912</v>
      </c>
      <c r="E1040" s="87"/>
      <c r="F1040" s="88" t="b">
        <v>0</v>
      </c>
      <c r="G1040" s="88" t="b">
        <f>IF(G1036=TRUE,TRUE,FALSE)</f>
        <v>0</v>
      </c>
      <c r="H1040" s="34" t="str">
        <f>IF(G1040=TRUE,H1036,"")</f>
        <v/>
      </c>
      <c r="I1040" s="34"/>
      <c r="J1040" s="14"/>
    </row>
    <row r="1041" hidden="1">
      <c r="A1041" s="90" t="str">
        <f>HYPERLINK("https://github.com/pytorch/pytorch/blob/f99ab991dcd3719ee25dd3377a53ea12e518308e/test/test_nestedtensor.py#L8880", "TestNestedTensorOpInfo")</f>
        <v>TestNestedTensorOpInfo</v>
      </c>
      <c r="B1041" s="91" t="s">
        <v>1113</v>
      </c>
      <c r="C1041" s="91"/>
      <c r="D1041" s="91" t="s">
        <v>912</v>
      </c>
      <c r="E1041" s="92"/>
      <c r="F1041" s="93" t="b">
        <v>0</v>
      </c>
      <c r="G1041" s="93" t="b">
        <f>IF(G1036=TRUE,TRUE,FALSE)</f>
        <v>0</v>
      </c>
      <c r="H1041" s="34" t="str">
        <f>IF(G1041=TRUE,H1036,"")</f>
        <v/>
      </c>
      <c r="I1041" s="34"/>
      <c r="J1041" s="14"/>
    </row>
    <row r="1042" hidden="1">
      <c r="A1042" s="85" t="str">
        <f>HYPERLINK("https://github.com/pytorch/pytorch/blob/f99ab991dcd3719ee25dd3377a53ea12e518308e/test/test_nestedtensor.py#L9127", "TestNestedInt")</f>
        <v>TestNestedInt</v>
      </c>
      <c r="B1042" s="86" t="s">
        <v>1113</v>
      </c>
      <c r="C1042" s="86"/>
      <c r="D1042" s="86" t="s">
        <v>912</v>
      </c>
      <c r="E1042" s="87"/>
      <c r="F1042" s="88" t="b">
        <v>0</v>
      </c>
      <c r="G1042" s="88" t="b">
        <f>IF(G1036=TRUE,TRUE,FALSE)</f>
        <v>0</v>
      </c>
      <c r="H1042" s="34" t="str">
        <f>IF(G1042=TRUE,H1036,"")</f>
        <v/>
      </c>
      <c r="I1042" s="34"/>
      <c r="J1042" s="14"/>
    </row>
    <row r="1043" hidden="1">
      <c r="A1043" s="15" t="s">
        <v>1114</v>
      </c>
      <c r="B1043" s="16"/>
      <c r="C1043" s="16"/>
      <c r="D1043" s="16"/>
      <c r="E1043" s="17"/>
      <c r="F1043" s="18" t="b">
        <v>1</v>
      </c>
      <c r="G1043" s="18" t="b">
        <v>0</v>
      </c>
      <c r="H1043" s="20"/>
      <c r="I1043" s="20"/>
      <c r="J1043" s="14"/>
    </row>
    <row r="1044" hidden="1">
      <c r="A1044" s="90" t="str">
        <f>HYPERLINK("https://github.com/pytorch/pytorch/blob/f99ab991dcd3719ee25dd3377a53ea12e518308e/test/test_namedtensor.py#L71", "TestNamedTensor")</f>
        <v>TestNamedTensor</v>
      </c>
      <c r="B1044" s="91" t="s">
        <v>1115</v>
      </c>
      <c r="C1044" s="91"/>
      <c r="D1044" s="91" t="s">
        <v>912</v>
      </c>
      <c r="E1044" s="92"/>
      <c r="F1044" s="93" t="b">
        <v>0</v>
      </c>
      <c r="G1044" s="93" t="b">
        <f>IF(G1043=TRUE,TRUE,FALSE)</f>
        <v>0</v>
      </c>
      <c r="H1044" s="34" t="str">
        <f>IF(G1044=TRUE,H1043,"")</f>
        <v/>
      </c>
      <c r="I1044" s="34"/>
      <c r="J1044" s="14"/>
    </row>
    <row r="1045" hidden="1">
      <c r="A1045" s="15" t="s">
        <v>1116</v>
      </c>
      <c r="B1045" s="16"/>
      <c r="C1045" s="16"/>
      <c r="D1045" s="16"/>
      <c r="E1045" s="17"/>
      <c r="F1045" s="18" t="b">
        <v>1</v>
      </c>
      <c r="G1045" s="18" t="b">
        <v>0</v>
      </c>
      <c r="H1045" s="20"/>
      <c r="I1045" s="20"/>
      <c r="J1045" s="14"/>
    </row>
    <row r="1046" hidden="1">
      <c r="A1046" s="85" t="str">
        <f>HYPERLINK("https://github.com/pytorch/pytorch/blob/f99ab991dcd3719ee25dd3377a53ea12e518308e/test/test_maskedtensor.py#L118", "TestBasics")</f>
        <v>TestBasics</v>
      </c>
      <c r="B1046" s="86" t="s">
        <v>1117</v>
      </c>
      <c r="C1046" s="86"/>
      <c r="D1046" s="86" t="s">
        <v>912</v>
      </c>
      <c r="E1046" s="87"/>
      <c r="F1046" s="88" t="b">
        <v>0</v>
      </c>
      <c r="G1046" s="88" t="b">
        <f>IF(G1045=TRUE,TRUE,FALSE)</f>
        <v>0</v>
      </c>
      <c r="H1046" s="34" t="str">
        <f>IF(G1046=TRUE,H1045,"")</f>
        <v/>
      </c>
      <c r="I1046" s="34"/>
      <c r="J1046" s="14"/>
    </row>
    <row r="1047" hidden="1">
      <c r="A1047" s="90" t="str">
        <f>HYPERLINK("https://github.com/pytorch/pytorch/blob/f99ab991dcd3719ee25dd3377a53ea12e518308e/test/test_maskedtensor.py#L421", "TestUnary")</f>
        <v>TestUnary</v>
      </c>
      <c r="B1047" s="91" t="s">
        <v>1117</v>
      </c>
      <c r="C1047" s="91"/>
      <c r="D1047" s="91" t="s">
        <v>912</v>
      </c>
      <c r="E1047" s="92"/>
      <c r="F1047" s="93" t="b">
        <v>0</v>
      </c>
      <c r="G1047" s="93" t="b">
        <f>IF(G1045=TRUE,TRUE,FALSE)</f>
        <v>0</v>
      </c>
      <c r="H1047" s="34" t="str">
        <f>IF(G1047=TRUE,H1045,"")</f>
        <v/>
      </c>
      <c r="I1047" s="34"/>
      <c r="J1047" s="14"/>
    </row>
    <row r="1048" hidden="1">
      <c r="A1048" s="85" t="str">
        <f>HYPERLINK("https://github.com/pytorch/pytorch/blob/f99ab991dcd3719ee25dd3377a53ea12e518308e/test/test_maskedtensor.py#L484", "TestBinary")</f>
        <v>TestBinary</v>
      </c>
      <c r="B1048" s="86" t="s">
        <v>1117</v>
      </c>
      <c r="C1048" s="86"/>
      <c r="D1048" s="86" t="s">
        <v>912</v>
      </c>
      <c r="E1048" s="87"/>
      <c r="F1048" s="88" t="b">
        <v>0</v>
      </c>
      <c r="G1048" s="88" t="b">
        <f>IF(G1045=TRUE,TRUE,FALSE)</f>
        <v>0</v>
      </c>
      <c r="H1048" s="34" t="str">
        <f>IF(G1048=TRUE,H1045,"")</f>
        <v/>
      </c>
      <c r="I1048" s="34"/>
      <c r="J1048" s="14"/>
    </row>
    <row r="1049" hidden="1">
      <c r="A1049" s="90" t="str">
        <f>HYPERLINK("https://github.com/pytorch/pytorch/blob/f99ab991dcd3719ee25dd3377a53ea12e518308e/test/test_maskedtensor.py#L560", "TestReductions")</f>
        <v>TestReductions</v>
      </c>
      <c r="B1049" s="91" t="s">
        <v>1117</v>
      </c>
      <c r="C1049" s="91"/>
      <c r="D1049" s="91" t="s">
        <v>912</v>
      </c>
      <c r="E1049" s="92"/>
      <c r="F1049" s="93" t="b">
        <v>0</v>
      </c>
      <c r="G1049" s="93" t="b">
        <f>IF(G1045=TRUE,TRUE,FALSE)</f>
        <v>0</v>
      </c>
      <c r="H1049" s="34" t="str">
        <f>IF(G1049=TRUE,H1045,"")</f>
        <v/>
      </c>
      <c r="I1049" s="34"/>
      <c r="J1049" s="14"/>
    </row>
    <row r="1050" hidden="1">
      <c r="A1050" s="85" t="str">
        <f>HYPERLINK("https://github.com/pytorch/pytorch/blob/f99ab991dcd3719ee25dd3377a53ea12e518308e/test/test_maskedtensor.py#L881", "TestOperators")</f>
        <v>TestOperators</v>
      </c>
      <c r="B1050" s="86" t="s">
        <v>1117</v>
      </c>
      <c r="C1050" s="86"/>
      <c r="D1050" s="86" t="s">
        <v>912</v>
      </c>
      <c r="E1050" s="87"/>
      <c r="F1050" s="88" t="b">
        <v>0</v>
      </c>
      <c r="G1050" s="88" t="b">
        <f>IF(G1045=TRUE,TRUE,FALSE)</f>
        <v>0</v>
      </c>
      <c r="H1050" s="34" t="str">
        <f>IF(G1050=TRUE,H1045,"")</f>
        <v/>
      </c>
      <c r="I1050" s="34"/>
      <c r="J1050" s="14"/>
    </row>
    <row r="1051" hidden="1">
      <c r="A1051" s="9" t="s">
        <v>1118</v>
      </c>
      <c r="B1051" s="10"/>
      <c r="C1051" s="10"/>
      <c r="D1051" s="10"/>
      <c r="E1051" s="11"/>
      <c r="F1051" s="12"/>
      <c r="G1051" s="12"/>
      <c r="H1051" s="12"/>
      <c r="I1051" s="12"/>
      <c r="J1051" s="14"/>
    </row>
    <row r="1052" hidden="1">
      <c r="A1052" s="15" t="s">
        <v>1119</v>
      </c>
      <c r="B1052" s="16"/>
      <c r="C1052" s="16"/>
      <c r="D1052" s="16"/>
      <c r="E1052" s="17"/>
      <c r="F1052" s="18" t="b">
        <v>1</v>
      </c>
      <c r="G1052" s="18" t="b">
        <v>0</v>
      </c>
      <c r="H1052" s="20"/>
      <c r="I1052" s="20"/>
      <c r="J1052" s="14"/>
    </row>
    <row r="1053" hidden="1">
      <c r="A1053" s="85" t="str">
        <f>HYPERLINK("https://github.com/pytorch/pytorch/blob/f99ab991dcd3719ee25dd3377a53ea12e518308e/test/lazy/test_debug_util.py#L18", "DebugUtilTest")</f>
        <v>DebugUtilTest</v>
      </c>
      <c r="B1053" s="86" t="s">
        <v>1120</v>
      </c>
      <c r="C1053" s="86"/>
      <c r="D1053" s="86" t="s">
        <v>912</v>
      </c>
      <c r="E1053" s="87"/>
      <c r="F1053" s="88" t="b">
        <v>0</v>
      </c>
      <c r="G1053" s="88" t="b">
        <f>IF(G1052=TRUE,TRUE,FALSE)</f>
        <v>0</v>
      </c>
      <c r="H1053" s="34" t="str">
        <f>IF(G1053=TRUE,H1052,"")</f>
        <v/>
      </c>
      <c r="I1053" s="34"/>
      <c r="J1053" s="14"/>
    </row>
    <row r="1054" hidden="1">
      <c r="A1054" s="90" t="str">
        <f>HYPERLINK("https://github.com/pytorch/pytorch/blob/f99ab991dcd3719ee25dd3377a53ea12e518308e/test/lazy/test_extract_compiled_graph.py#L195", "OptimizeTest")</f>
        <v>OptimizeTest</v>
      </c>
      <c r="B1054" s="91" t="s">
        <v>1121</v>
      </c>
      <c r="C1054" s="91"/>
      <c r="D1054" s="91" t="s">
        <v>912</v>
      </c>
      <c r="E1054" s="92"/>
      <c r="F1054" s="93" t="b">
        <v>0</v>
      </c>
      <c r="G1054" s="93" t="b">
        <f>IF(G1052=TRUE,TRUE,FALSE)</f>
        <v>0</v>
      </c>
      <c r="H1054" s="34" t="str">
        <f>IF(G1054=TRUE,H1052,"")</f>
        <v/>
      </c>
      <c r="I1054" s="34"/>
      <c r="J1054" s="14"/>
    </row>
    <row r="1055" hidden="1">
      <c r="A1055" s="85" t="str">
        <f>HYPERLINK("https://github.com/pytorch/pytorch/blob/f99ab991dcd3719ee25dd3377a53ea12e518308e/test/lazy/test_functionalization.py#L16", "LazyFuncionalizationTest")</f>
        <v>LazyFuncionalizationTest</v>
      </c>
      <c r="B1055" s="86" t="s">
        <v>1122</v>
      </c>
      <c r="C1055" s="86"/>
      <c r="D1055" s="86" t="s">
        <v>912</v>
      </c>
      <c r="E1055" s="87"/>
      <c r="F1055" s="88" t="b">
        <v>0</v>
      </c>
      <c r="G1055" s="88" t="b">
        <f>IF(G1052=TRUE,TRUE,FALSE)</f>
        <v>0</v>
      </c>
      <c r="H1055" s="34" t="str">
        <f>IF(G1055=TRUE,H1052,"")</f>
        <v/>
      </c>
      <c r="I1055" s="34"/>
      <c r="J1055" s="14"/>
    </row>
    <row r="1056" hidden="1">
      <c r="A1056" s="90" t="str">
        <f>HYPERLINK("https://github.com/pytorch/pytorch/blob/f99ab991dcd3719ee25dd3377a53ea12e518308e/test/lazy/test_generator.py#L12", "LazyGeneratorTest")</f>
        <v>LazyGeneratorTest</v>
      </c>
      <c r="B1056" s="91" t="s">
        <v>1123</v>
      </c>
      <c r="C1056" s="91"/>
      <c r="D1056" s="91" t="s">
        <v>912</v>
      </c>
      <c r="E1056" s="92"/>
      <c r="F1056" s="93" t="b">
        <v>0</v>
      </c>
      <c r="G1056" s="93" t="b">
        <f>IF(G1052=TRUE,TRUE,FALSE)</f>
        <v>0</v>
      </c>
      <c r="H1056" s="34" t="str">
        <f>IF(G1056=TRUE,H1052,"")</f>
        <v/>
      </c>
      <c r="I1056" s="34"/>
      <c r="J1056" s="14"/>
    </row>
    <row r="1057" hidden="1">
      <c r="A1057" s="85" t="str">
        <f>HYPERLINK("https://github.com/pytorch/pytorch/blob/f99ab991dcd3719ee25dd3377a53ea12e518308e/test/lazy/test_meta_kernel.py#L13", "TestMetaKernel")</f>
        <v>TestMetaKernel</v>
      </c>
      <c r="B1057" s="86" t="s">
        <v>1124</v>
      </c>
      <c r="C1057" s="86"/>
      <c r="D1057" s="86" t="s">
        <v>912</v>
      </c>
      <c r="E1057" s="87"/>
      <c r="F1057" s="88" t="b">
        <v>0</v>
      </c>
      <c r="G1057" s="88" t="b">
        <f>IF(G1052=TRUE,TRUE,FALSE)</f>
        <v>0</v>
      </c>
      <c r="H1057" s="34" t="str">
        <f>IF(G1057=TRUE,H1052,"")</f>
        <v/>
      </c>
      <c r="I1057" s="34"/>
      <c r="J1057" s="14"/>
    </row>
    <row r="1058" hidden="1">
      <c r="A1058" s="90" t="str">
        <f>HYPERLINK("https://github.com/pytorch/pytorch/blob/f99ab991dcd3719ee25dd3377a53ea12e518308e/test/lazy/test_reuse_ir.py#L24", "TestLazyReuseIr")</f>
        <v>TestLazyReuseIr</v>
      </c>
      <c r="B1058" s="91" t="s">
        <v>1125</v>
      </c>
      <c r="C1058" s="91"/>
      <c r="D1058" s="91" t="s">
        <v>912</v>
      </c>
      <c r="E1058" s="92"/>
      <c r="F1058" s="93" t="b">
        <v>0</v>
      </c>
      <c r="G1058" s="93" t="b">
        <f>IF(G1052=TRUE,TRUE,FALSE)</f>
        <v>0</v>
      </c>
      <c r="H1058" s="34" t="str">
        <f>IF(G1058=TRUE,H1052,"")</f>
        <v/>
      </c>
      <c r="I1058" s="34"/>
      <c r="J1058" s="14"/>
    </row>
    <row r="1059" hidden="1">
      <c r="A1059" s="85" t="str">
        <f>HYPERLINK("https://github.com/pytorch/pytorch/blob/f99ab991dcd3719ee25dd3377a53ea12e518308e/test/lazy/test_step_closures.py#L14", "ClosuresTest")</f>
        <v>ClosuresTest</v>
      </c>
      <c r="B1059" s="86" t="s">
        <v>1126</v>
      </c>
      <c r="C1059" s="86"/>
      <c r="D1059" s="86" t="s">
        <v>912</v>
      </c>
      <c r="E1059" s="87"/>
      <c r="F1059" s="88" t="b">
        <v>0</v>
      </c>
      <c r="G1059" s="88" t="b">
        <f>IF(G1052=TRUE,TRUE,FALSE)</f>
        <v>0</v>
      </c>
      <c r="H1059" s="34" t="str">
        <f>IF(G1059=TRUE,H1052,"")</f>
        <v/>
      </c>
      <c r="I1059" s="34"/>
      <c r="J1059" s="14"/>
    </row>
    <row r="1060" hidden="1">
      <c r="A1060" s="90" t="str">
        <f>HYPERLINK("https://github.com/pytorch/pytorch/blob/f99ab991dcd3719ee25dd3377a53ea12e518308e/test/lazy/test_ts_opinfo.py#L124", "TestLazyTensor")</f>
        <v>TestLazyTensor</v>
      </c>
      <c r="B1060" s="91" t="s">
        <v>1127</v>
      </c>
      <c r="C1060" s="91"/>
      <c r="D1060" s="91" t="s">
        <v>912</v>
      </c>
      <c r="E1060" s="92"/>
      <c r="F1060" s="93" t="b">
        <v>0</v>
      </c>
      <c r="G1060" s="93" t="b">
        <f>IF(G1052=TRUE,TRUE,FALSE)</f>
        <v>0</v>
      </c>
      <c r="H1060" s="34" t="str">
        <f>IF(G1060=TRUE,H1052,"")</f>
        <v/>
      </c>
      <c r="I1060" s="34"/>
      <c r="J1060" s="14"/>
    </row>
    <row r="1061" hidden="1">
      <c r="A1061" s="85" t="str">
        <f>HYPERLINK("https://github.com/pytorch/pytorch/blob/f99ab991dcd3719ee25dd3377a53ea12e518308e/test/lazy/test_ts_opinfo.py#L191", "TestLazyOpInfo")</f>
        <v>TestLazyOpInfo</v>
      </c>
      <c r="B1061" s="86" t="s">
        <v>1127</v>
      </c>
      <c r="C1061" s="86"/>
      <c r="D1061" s="86" t="s">
        <v>912</v>
      </c>
      <c r="E1061" s="87"/>
      <c r="F1061" s="88" t="b">
        <v>0</v>
      </c>
      <c r="G1061" s="88" t="b">
        <f>IF(G1052=TRUE,TRUE,FALSE)</f>
        <v>0</v>
      </c>
      <c r="H1061" s="34" t="str">
        <f>IF(G1061=TRUE,H1052,"")</f>
        <v/>
      </c>
      <c r="I1061" s="34"/>
      <c r="J1061" s="14"/>
    </row>
    <row r="1062" hidden="1">
      <c r="A1062" s="90" t="str">
        <f>HYPERLINK("https://github.com/pytorch/pytorch/blob/f99ab991dcd3719ee25dd3377a53ea12e518308e/test/lazy/test_ts_opinfo.py#L334", "TestLazyDynamicOps")</f>
        <v>TestLazyDynamicOps</v>
      </c>
      <c r="B1062" s="91" t="s">
        <v>1127</v>
      </c>
      <c r="C1062" s="91"/>
      <c r="D1062" s="91" t="s">
        <v>912</v>
      </c>
      <c r="E1062" s="92"/>
      <c r="F1062" s="93" t="b">
        <v>0</v>
      </c>
      <c r="G1062" s="93" t="b">
        <f>IF(G1052=TRUE,TRUE,FALSE)</f>
        <v>0</v>
      </c>
      <c r="H1062" s="34" t="str">
        <f>IF(G1062=TRUE,H1052,"")</f>
        <v/>
      </c>
      <c r="I1062" s="34"/>
      <c r="J1062" s="14"/>
    </row>
    <row r="1063" hidden="1">
      <c r="A1063" s="9" t="s">
        <v>1128</v>
      </c>
      <c r="B1063" s="10"/>
      <c r="C1063" s="10"/>
      <c r="D1063" s="10"/>
      <c r="E1063" s="11"/>
      <c r="F1063" s="12"/>
      <c r="G1063" s="12"/>
      <c r="H1063" s="12"/>
      <c r="I1063" s="12"/>
      <c r="J1063" s="14"/>
    </row>
    <row r="1064" hidden="1">
      <c r="A1064" s="15" t="s">
        <v>1129</v>
      </c>
      <c r="B1064" s="16"/>
      <c r="C1064" s="16"/>
      <c r="D1064" s="16"/>
      <c r="E1064" s="17"/>
      <c r="F1064" s="18" t="b">
        <v>1</v>
      </c>
      <c r="G1064" s="18" t="b">
        <v>0</v>
      </c>
      <c r="H1064" s="20"/>
      <c r="I1064" s="20"/>
      <c r="J1064" s="14"/>
    </row>
    <row r="1065" hidden="1">
      <c r="A1065" s="85" t="str">
        <f>HYPERLINK("https://github.com/pytorch/pytorch/blob/f99ab991dcd3719ee25dd3377a53ea12e518308e/test/mobile/test_lite_script_module.py#L20", "TestLiteScriptModule")</f>
        <v>TestLiteScriptModule</v>
      </c>
      <c r="B1065" s="86" t="s">
        <v>1130</v>
      </c>
      <c r="C1065" s="86"/>
      <c r="D1065" s="86" t="s">
        <v>912</v>
      </c>
      <c r="E1065" s="87"/>
      <c r="F1065" s="88" t="b">
        <v>0</v>
      </c>
      <c r="G1065" s="88" t="b">
        <f>IF(G1064=TRUE,TRUE,FALSE)</f>
        <v>0</v>
      </c>
      <c r="H1065" s="34" t="str">
        <f>IF(G1065=TRUE,H1064,"")</f>
        <v/>
      </c>
      <c r="I1065" s="34"/>
      <c r="J1065" s="14"/>
    </row>
    <row r="1066" hidden="1">
      <c r="A1066" s="90" t="str">
        <f>HYPERLINK("https://github.com/pytorch/pytorch/blob/f99ab991dcd3719ee25dd3377a53ea12e518308e/test/mobile/test_lite_script_module.py#L497", "TestLiteScriptQuantizedModule")</f>
        <v>TestLiteScriptQuantizedModule</v>
      </c>
      <c r="B1066" s="91" t="s">
        <v>1130</v>
      </c>
      <c r="C1066" s="91"/>
      <c r="D1066" s="91" t="s">
        <v>912</v>
      </c>
      <c r="E1066" s="92"/>
      <c r="F1066" s="93" t="b">
        <v>0</v>
      </c>
      <c r="G1066" s="93" t="b">
        <f>IF(G1064=TRUE,TRUE,FALSE)</f>
        <v>0</v>
      </c>
      <c r="H1066" s="34" t="str">
        <f>IF(G1066=TRUE,H1064,"")</f>
        <v/>
      </c>
      <c r="I1066" s="34"/>
      <c r="J1066" s="14"/>
    </row>
    <row r="1067" hidden="1">
      <c r="A1067" s="85" t="str">
        <f>HYPERLINK("https://github.com/pytorch/pytorch/blob/f99ab991dcd3719ee25dd3377a53ea12e518308e/test/mobile/test_lite_script_type.py#L14", "TestLiteScriptModule")</f>
        <v>TestLiteScriptModule</v>
      </c>
      <c r="B1067" s="86" t="s">
        <v>1131</v>
      </c>
      <c r="C1067" s="86"/>
      <c r="D1067" s="86" t="s">
        <v>912</v>
      </c>
      <c r="E1067" s="87"/>
      <c r="F1067" s="88" t="b">
        <v>0</v>
      </c>
      <c r="G1067" s="88" t="b">
        <f>IF(G1064=TRUE,TRUE,FALSE)</f>
        <v>0</v>
      </c>
      <c r="H1067" s="34" t="str">
        <f>IF(G1067=TRUE,H1064,"")</f>
        <v/>
      </c>
      <c r="I1067" s="34"/>
      <c r="J1067" s="14"/>
    </row>
    <row r="1068" hidden="1">
      <c r="A1068" s="90" t="str">
        <f>HYPERLINK("https://github.com/pytorch/pytorch/blob/f99ab991dcd3719ee25dd3377a53ea12e518308e/test/mobile/test_quantize_fx_lite_script_module.py#L18", "TestLiteFuseFx")</f>
        <v>TestLiteFuseFx</v>
      </c>
      <c r="B1068" s="91" t="s">
        <v>1132</v>
      </c>
      <c r="C1068" s="91"/>
      <c r="D1068" s="91" t="s">
        <v>912</v>
      </c>
      <c r="E1068" s="92"/>
      <c r="F1068" s="93" t="b">
        <v>0</v>
      </c>
      <c r="G1068" s="93" t="b">
        <f>IF(G1064=TRUE,TRUE,FALSE)</f>
        <v>0</v>
      </c>
      <c r="H1068" s="34" t="str">
        <f>IF(G1068=TRUE,H1064,"")</f>
        <v/>
      </c>
      <c r="I1068" s="34"/>
      <c r="J1068" s="14"/>
    </row>
    <row r="1069" hidden="1">
      <c r="A1069" s="85" t="str">
        <f>HYPERLINK("https://github.com/pytorch/pytorch/blob/f99ab991dcd3719ee25dd3377a53ea12e518308e/test/mobile/test_upgrader_codegen.py#L15", "TestLiteScriptModule")</f>
        <v>TestLiteScriptModule</v>
      </c>
      <c r="B1069" s="86" t="s">
        <v>1133</v>
      </c>
      <c r="C1069" s="86"/>
      <c r="D1069" s="86" t="s">
        <v>912</v>
      </c>
      <c r="E1069" s="87"/>
      <c r="F1069" s="88" t="b">
        <v>0</v>
      </c>
      <c r="G1069" s="88" t="b">
        <f>IF(G1064=TRUE,TRUE,FALSE)</f>
        <v>0</v>
      </c>
      <c r="H1069" s="34" t="str">
        <f>IF(G1069=TRUE,H1064,"")</f>
        <v/>
      </c>
      <c r="I1069" s="34"/>
      <c r="J1069" s="14"/>
    </row>
    <row r="1070" hidden="1">
      <c r="A1070" s="90" t="str">
        <f>HYPERLINK("https://github.com/pytorch/pytorch/blob/f99ab991dcd3719ee25dd3377a53ea12e518308e/test/mobile/test_upgraders.py#L16", "TestLiteScriptModule")</f>
        <v>TestLiteScriptModule</v>
      </c>
      <c r="B1070" s="91" t="s">
        <v>1134</v>
      </c>
      <c r="C1070" s="91"/>
      <c r="D1070" s="91" t="s">
        <v>912</v>
      </c>
      <c r="E1070" s="92"/>
      <c r="F1070" s="93" t="b">
        <v>0</v>
      </c>
      <c r="G1070" s="93" t="b">
        <f>IF(G1064=TRUE,TRUE,FALSE)</f>
        <v>0</v>
      </c>
      <c r="H1070" s="34" t="str">
        <f>IF(G1070=TRUE,H1064,"")</f>
        <v/>
      </c>
      <c r="I1070" s="34"/>
      <c r="J1070" s="14"/>
    </row>
    <row r="1071" hidden="1">
      <c r="A1071" s="85" t="str">
        <f>HYPERLINK("https://github.com/pytorch/pytorch/blob/f99ab991dcd3719ee25dd3377a53ea12e518308e/test/test_bundled_images.py#L66", "TestBundledImages")</f>
        <v>TestBundledImages</v>
      </c>
      <c r="B1071" s="86" t="s">
        <v>1135</v>
      </c>
      <c r="C1071" s="86"/>
      <c r="D1071" s="86" t="s">
        <v>912</v>
      </c>
      <c r="E1071" s="87"/>
      <c r="F1071" s="88" t="b">
        <v>0</v>
      </c>
      <c r="G1071" s="88" t="b">
        <f>IF(G1064=TRUE,TRUE,FALSE)</f>
        <v>0</v>
      </c>
      <c r="H1071" s="34" t="str">
        <f>IF(G1071=TRUE,H1064,"")</f>
        <v/>
      </c>
      <c r="I1071" s="34"/>
      <c r="J1071" s="14"/>
    </row>
    <row r="1072" hidden="1">
      <c r="A1072" s="90" t="str">
        <f>HYPERLINK("https://github.com/pytorch/pytorch/blob/f99ab991dcd3719ee25dd3377a53ea12e518308e/test/test_bundled_inputs.py#L27", "TestBundledInputs")</f>
        <v>TestBundledInputs</v>
      </c>
      <c r="B1072" s="91" t="s">
        <v>1136</v>
      </c>
      <c r="C1072" s="91"/>
      <c r="D1072" s="91" t="s">
        <v>912</v>
      </c>
      <c r="E1072" s="92"/>
      <c r="F1072" s="93" t="b">
        <v>0</v>
      </c>
      <c r="G1072" s="93" t="b">
        <f>IF(G1064=TRUE,TRUE,FALSE)</f>
        <v>0</v>
      </c>
      <c r="H1072" s="34" t="str">
        <f>IF(G1072=TRUE,H1064,"")</f>
        <v/>
      </c>
      <c r="I1072" s="34"/>
      <c r="J1072" s="14"/>
    </row>
    <row r="1073" hidden="1">
      <c r="A1073" s="85" t="str">
        <f>HYPERLINK("https://github.com/pytorch/pytorch/blob/f99ab991dcd3719ee25dd3377a53ea12e518308e/test/test_mobile_optimizer.py#L24", "TestOptimizer")</f>
        <v>TestOptimizer</v>
      </c>
      <c r="B1073" s="86" t="s">
        <v>1137</v>
      </c>
      <c r="C1073" s="86"/>
      <c r="D1073" s="86" t="s">
        <v>912</v>
      </c>
      <c r="E1073" s="87"/>
      <c r="F1073" s="88" t="b">
        <v>0</v>
      </c>
      <c r="G1073" s="88" t="b">
        <f>IF(G1064=TRUE,TRUE,FALSE)</f>
        <v>0</v>
      </c>
      <c r="H1073" s="34" t="str">
        <f>IF(G1073=TRUE,H1064,"")</f>
        <v/>
      </c>
      <c r="I1073" s="34"/>
      <c r="J1073" s="14"/>
    </row>
    <row r="1074" hidden="1">
      <c r="A1074" s="90" t="str">
        <f>HYPERLINK("https://github.com/pytorch/pytorch/blob/f99ab991dcd3719ee25dd3377a53ea12e518308e/test/test_nnapi.py#L29", "TestNNAPI")</f>
        <v>TestNNAPI</v>
      </c>
      <c r="B1074" s="91" t="s">
        <v>1138</v>
      </c>
      <c r="C1074" s="91"/>
      <c r="D1074" s="91" t="s">
        <v>912</v>
      </c>
      <c r="E1074" s="92"/>
      <c r="F1074" s="93" t="b">
        <v>0</v>
      </c>
      <c r="G1074" s="93" t="b">
        <f>IF(G1064=TRUE,TRUE,FALSE)</f>
        <v>0</v>
      </c>
      <c r="H1074" s="34" t="str">
        <f>IF(G1074=TRUE,H1064,"")</f>
        <v/>
      </c>
      <c r="I1074" s="34"/>
      <c r="J1074" s="14"/>
    </row>
    <row r="1075" hidden="1">
      <c r="A1075" s="85" t="str">
        <f>HYPERLINK("https://github.com/pytorch/pytorch/blob/f99ab991dcd3719ee25dd3377a53ea12e518308e/test/test_set_default_mobile_cpu_allocator.py#L6", "TestSetDefaultMobileCPUAllocator")</f>
        <v>TestSetDefaultMobileCPUAllocator</v>
      </c>
      <c r="B1075" s="86" t="s">
        <v>1139</v>
      </c>
      <c r="C1075" s="86"/>
      <c r="D1075" s="86" t="s">
        <v>912</v>
      </c>
      <c r="E1075" s="87"/>
      <c r="F1075" s="88" t="b">
        <v>0</v>
      </c>
      <c r="G1075" s="88" t="b">
        <f>IF(G1064=TRUE,TRUE,FALSE)</f>
        <v>0</v>
      </c>
      <c r="H1075" s="34" t="str">
        <f>IF(G1075=TRUE,H1064,"")</f>
        <v/>
      </c>
      <c r="I1075" s="34"/>
      <c r="J1075" s="14"/>
    </row>
    <row r="1076" hidden="1">
      <c r="A1076" s="90" t="str">
        <f>HYPERLINK("https://github.com/pytorch/pytorch/blob/f99ab991dcd3719ee25dd3377a53ea12e518308e/test/test_static_runtime.py#L193", "TestStaticModule")</f>
        <v>TestStaticModule</v>
      </c>
      <c r="B1076" s="91" t="s">
        <v>1140</v>
      </c>
      <c r="C1076" s="91"/>
      <c r="D1076" s="91" t="s">
        <v>912</v>
      </c>
      <c r="E1076" s="92"/>
      <c r="F1076" s="93" t="b">
        <v>0</v>
      </c>
      <c r="G1076" s="93" t="b">
        <f>IF(G1064=TRUE,TRUE,FALSE)</f>
        <v>0</v>
      </c>
      <c r="H1076" s="34" t="str">
        <f>IF(G1076=TRUE,H1064,"")</f>
        <v/>
      </c>
      <c r="I1076" s="34"/>
      <c r="J1076" s="14"/>
    </row>
    <row r="1077" hidden="1">
      <c r="A1077" s="85" t="str">
        <f>HYPERLINK("https://github.com/pytorch/pytorch/blob/f99ab991dcd3719ee25dd3377a53ea12e518308e/test/test_vulkan.py#L13", "TestVulkanRewritePass")</f>
        <v>TestVulkanRewritePass</v>
      </c>
      <c r="B1077" s="86" t="s">
        <v>1141</v>
      </c>
      <c r="C1077" s="86"/>
      <c r="D1077" s="86" t="s">
        <v>912</v>
      </c>
      <c r="E1077" s="87"/>
      <c r="F1077" s="88" t="b">
        <v>0</v>
      </c>
      <c r="G1077" s="88" t="b">
        <f>IF(G1064=TRUE,TRUE,FALSE)</f>
        <v>0</v>
      </c>
      <c r="H1077" s="34" t="str">
        <f>IF(G1077=TRUE,H1064,"")</f>
        <v/>
      </c>
      <c r="I1077" s="34"/>
      <c r="J1077" s="14"/>
    </row>
    <row r="1078" hidden="1">
      <c r="A1078" s="90" t="str">
        <f>HYPERLINK("https://github.com/pytorch/pytorch/blob/f99ab991dcd3719ee25dd3377a53ea12e518308e/test/test_xnnpack_integration.py#L32", "TestXNNPACKOps")</f>
        <v>TestXNNPACKOps</v>
      </c>
      <c r="B1078" s="91" t="s">
        <v>1142</v>
      </c>
      <c r="C1078" s="91"/>
      <c r="D1078" s="91" t="s">
        <v>912</v>
      </c>
      <c r="E1078" s="92"/>
      <c r="F1078" s="93" t="b">
        <v>0</v>
      </c>
      <c r="G1078" s="93" t="b">
        <f>IF(G1064=TRUE,TRUE,FALSE)</f>
        <v>0</v>
      </c>
      <c r="H1078" s="34" t="str">
        <f>IF(G1078=TRUE,H1064,"")</f>
        <v/>
      </c>
      <c r="I1078" s="34"/>
      <c r="J1078" s="14"/>
    </row>
    <row r="1079" hidden="1">
      <c r="A1079" s="85" t="str">
        <f>HYPERLINK("https://github.com/pytorch/pytorch/blob/f99ab991dcd3719ee25dd3377a53ea12e518308e/test/test_xnnpack_integration.py#L240", "TestXNNPACKSerDes")</f>
        <v>TestXNNPACKSerDes</v>
      </c>
      <c r="B1079" s="86" t="s">
        <v>1142</v>
      </c>
      <c r="C1079" s="86"/>
      <c r="D1079" s="86" t="s">
        <v>912</v>
      </c>
      <c r="E1079" s="87"/>
      <c r="F1079" s="88" t="b">
        <v>0</v>
      </c>
      <c r="G1079" s="88" t="b">
        <f>IF(G1064=TRUE,TRUE,FALSE)</f>
        <v>0</v>
      </c>
      <c r="H1079" s="34" t="str">
        <f>IF(G1079=TRUE,H1064,"")</f>
        <v/>
      </c>
      <c r="I1079" s="34"/>
      <c r="J1079" s="14"/>
    </row>
    <row r="1080" hidden="1">
      <c r="A1080" s="90" t="str">
        <f>HYPERLINK("https://github.com/pytorch/pytorch/blob/f99ab991dcd3719ee25dd3377a53ea12e518308e/test/test_xnnpack_integration.py#L762", "TestXNNPACKRewritePass")</f>
        <v>TestXNNPACKRewritePass</v>
      </c>
      <c r="B1080" s="91" t="s">
        <v>1142</v>
      </c>
      <c r="C1080" s="91"/>
      <c r="D1080" s="91" t="s">
        <v>912</v>
      </c>
      <c r="E1080" s="92"/>
      <c r="F1080" s="93" t="b">
        <v>0</v>
      </c>
      <c r="G1080" s="93" t="b">
        <f>IF(G1064=TRUE,TRUE,FALSE)</f>
        <v>0</v>
      </c>
      <c r="H1080" s="34" t="str">
        <f>IF(G1080=TRUE,H1064,"")</f>
        <v/>
      </c>
      <c r="I1080" s="34"/>
      <c r="J1080" s="14"/>
    </row>
    <row r="1081" hidden="1">
      <c r="A1081" s="85" t="str">
        <f>HYPERLINK("https://github.com/pytorch/pytorch/blob/f99ab991dcd3719ee25dd3377a53ea12e518308e/test/test_xnnpack_integration.py#L1250", "TestXNNPACKConv1dTransformPass")</f>
        <v>TestXNNPACKConv1dTransformPass</v>
      </c>
      <c r="B1081" s="86" t="s">
        <v>1142</v>
      </c>
      <c r="C1081" s="86"/>
      <c r="D1081" s="86" t="s">
        <v>912</v>
      </c>
      <c r="E1081" s="87"/>
      <c r="F1081" s="88" t="b">
        <v>0</v>
      </c>
      <c r="G1081" s="88" t="b">
        <f>IF(G1064=TRUE,TRUE,FALSE)</f>
        <v>0</v>
      </c>
      <c r="H1081" s="34" t="str">
        <f>IF(G1081=TRUE,H1064,"")</f>
        <v/>
      </c>
      <c r="I1081" s="34"/>
      <c r="J1081" s="14"/>
    </row>
    <row r="1082" hidden="1">
      <c r="A1082" s="9" t="s">
        <v>1143</v>
      </c>
      <c r="B1082" s="10"/>
      <c r="C1082" s="10"/>
      <c r="D1082" s="10"/>
      <c r="E1082" s="11"/>
      <c r="F1082" s="12"/>
      <c r="G1082" s="12"/>
      <c r="H1082" s="12"/>
      <c r="I1082" s="12"/>
      <c r="J1082" s="14"/>
    </row>
    <row r="1083" hidden="1">
      <c r="A1083" s="15" t="s">
        <v>1144</v>
      </c>
      <c r="B1083" s="16"/>
      <c r="C1083" s="16"/>
      <c r="D1083" s="16"/>
      <c r="E1083" s="17"/>
      <c r="F1083" s="18" t="b">
        <v>1</v>
      </c>
      <c r="G1083" s="18" t="b">
        <v>0</v>
      </c>
      <c r="H1083" s="20"/>
      <c r="I1083" s="20"/>
      <c r="J1083" s="14"/>
    </row>
    <row r="1084" hidden="1">
      <c r="A1084" s="90" t="str">
        <f>HYPERLINK("https://github.com/pytorch/pytorch/blob/f99ab991dcd3719ee25dd3377a53ea12e518308e/test/package/common.py#L9", "PackageTestCase")</f>
        <v>PackageTestCase</v>
      </c>
      <c r="B1084" s="91" t="s">
        <v>1145</v>
      </c>
      <c r="C1084" s="91"/>
      <c r="D1084" s="91" t="s">
        <v>912</v>
      </c>
      <c r="E1084" s="92"/>
      <c r="F1084" s="93" t="b">
        <v>0</v>
      </c>
      <c r="G1084" s="93" t="b">
        <f>IF(G1083=TRUE,TRUE,FALSE)</f>
        <v>0</v>
      </c>
      <c r="H1084" s="34" t="str">
        <f>IF(G1084=TRUE,H1083,"")</f>
        <v/>
      </c>
      <c r="I1084" s="34"/>
      <c r="J1084" s="14"/>
    </row>
    <row r="1085" hidden="1">
      <c r="A1085" s="85" t="str">
        <f>HYPERLINK("https://github.com/pytorch/pytorch/blob/f99ab991dcd3719ee25dd3377a53ea12e518308e/test/package/test_analyze.py#L15", "TestAnalyze")</f>
        <v>TestAnalyze</v>
      </c>
      <c r="B1085" s="86" t="s">
        <v>1146</v>
      </c>
      <c r="C1085" s="86"/>
      <c r="D1085" s="86" t="s">
        <v>912</v>
      </c>
      <c r="E1085" s="87"/>
      <c r="F1085" s="88" t="b">
        <v>0</v>
      </c>
      <c r="G1085" s="88" t="b">
        <f>IF(G1083=TRUE,TRUE,FALSE)</f>
        <v>0</v>
      </c>
      <c r="H1085" s="34" t="str">
        <f>IF(G1085=TRUE,H1083,"")</f>
        <v/>
      </c>
      <c r="I1085" s="34"/>
      <c r="J1085" s="14"/>
    </row>
    <row r="1086" hidden="1">
      <c r="A1086" s="90" t="str">
        <f>HYPERLINK("https://github.com/pytorch/pytorch/blob/f99ab991dcd3719ee25dd3377a53ea12e518308e/test/package/test_dependency_api.py#L21", "TestDependencyAPI")</f>
        <v>TestDependencyAPI</v>
      </c>
      <c r="B1086" s="91" t="s">
        <v>1147</v>
      </c>
      <c r="C1086" s="91"/>
      <c r="D1086" s="91" t="s">
        <v>912</v>
      </c>
      <c r="E1086" s="92"/>
      <c r="F1086" s="93" t="b">
        <v>0</v>
      </c>
      <c r="G1086" s="93" t="b">
        <f>IF(G1083=TRUE,TRUE,FALSE)</f>
        <v>0</v>
      </c>
      <c r="H1086" s="34" t="str">
        <f>IF(G1086=TRUE,H1083,"")</f>
        <v/>
      </c>
      <c r="I1086" s="34"/>
      <c r="J1086" s="14"/>
    </row>
    <row r="1087" hidden="1">
      <c r="A1087" s="85" t="str">
        <f>HYPERLINK("https://github.com/pytorch/pytorch/blob/f99ab991dcd3719ee25dd3377a53ea12e518308e/test/package/test_dependency_hooks.py#L16", "TestDependencyHooks")</f>
        <v>TestDependencyHooks</v>
      </c>
      <c r="B1087" s="86" t="s">
        <v>1148</v>
      </c>
      <c r="C1087" s="86"/>
      <c r="D1087" s="86" t="s">
        <v>912</v>
      </c>
      <c r="E1087" s="87"/>
      <c r="F1087" s="88" t="b">
        <v>0</v>
      </c>
      <c r="G1087" s="88" t="b">
        <f>IF(G1083=TRUE,TRUE,FALSE)</f>
        <v>0</v>
      </c>
      <c r="H1087" s="34" t="str">
        <f>IF(G1087=TRUE,H1083,"")</f>
        <v/>
      </c>
      <c r="I1087" s="34"/>
      <c r="J1087" s="14"/>
    </row>
    <row r="1088" hidden="1">
      <c r="A1088" s="90" t="str">
        <f>HYPERLINK("https://github.com/pytorch/pytorch/blob/f99ab991dcd3719ee25dd3377a53ea12e518308e/test/package/test_digraph.py#L14", "TestDiGraph")</f>
        <v>TestDiGraph</v>
      </c>
      <c r="B1088" s="91" t="s">
        <v>1149</v>
      </c>
      <c r="C1088" s="91"/>
      <c r="D1088" s="91" t="s">
        <v>912</v>
      </c>
      <c r="E1088" s="92"/>
      <c r="F1088" s="93" t="b">
        <v>0</v>
      </c>
      <c r="G1088" s="93" t="b">
        <f>IF(G1083=TRUE,TRUE,FALSE)</f>
        <v>0</v>
      </c>
      <c r="H1088" s="34" t="str">
        <f>IF(G1088=TRUE,H1083,"")</f>
        <v/>
      </c>
      <c r="I1088" s="34"/>
      <c r="J1088" s="14"/>
    </row>
    <row r="1089" hidden="1">
      <c r="A1089" s="85" t="str">
        <f>HYPERLINK("https://github.com/pytorch/pytorch/blob/f99ab991dcd3719ee25dd3377a53ea12e518308e/test/package/test_directory_reader.py#L45", "DirectoryReaderTest")</f>
        <v>DirectoryReaderTest</v>
      </c>
      <c r="B1089" s="86" t="s">
        <v>1150</v>
      </c>
      <c r="C1089" s="86"/>
      <c r="D1089" s="86" t="s">
        <v>912</v>
      </c>
      <c r="E1089" s="87"/>
      <c r="F1089" s="88" t="b">
        <v>0</v>
      </c>
      <c r="G1089" s="88" t="b">
        <f>IF(G1083=TRUE,TRUE,FALSE)</f>
        <v>0</v>
      </c>
      <c r="H1089" s="34" t="str">
        <f>IF(G1089=TRUE,H1083,"")</f>
        <v/>
      </c>
      <c r="I1089" s="34"/>
      <c r="J1089" s="14"/>
    </row>
    <row r="1090" hidden="1">
      <c r="A1090" s="90" t="str">
        <f>HYPERLINK("https://github.com/pytorch/pytorch/blob/f99ab991dcd3719ee25dd3377a53ea12e518308e/test/package/test_glob_group.py#L16", "TestGlobGroup")</f>
        <v>TestGlobGroup</v>
      </c>
      <c r="B1090" s="91" t="s">
        <v>1151</v>
      </c>
      <c r="C1090" s="91"/>
      <c r="D1090" s="91" t="s">
        <v>912</v>
      </c>
      <c r="E1090" s="92"/>
      <c r="F1090" s="93" t="b">
        <v>0</v>
      </c>
      <c r="G1090" s="93" t="b">
        <f>IF(G1083=TRUE,TRUE,FALSE)</f>
        <v>0</v>
      </c>
      <c r="H1090" s="34" t="str">
        <f>IF(G1090=TRUE,H1083,"")</f>
        <v/>
      </c>
      <c r="I1090" s="34"/>
      <c r="J1090" s="14"/>
    </row>
    <row r="1091" hidden="1">
      <c r="A1091" s="85" t="str">
        <f>HYPERLINK("https://github.com/pytorch/pytorch/blob/f99ab991dcd3719ee25dd3377a53ea12e518308e/test/package/test_importer.py#L23", "TestImporter")</f>
        <v>TestImporter</v>
      </c>
      <c r="B1091" s="86" t="s">
        <v>1152</v>
      </c>
      <c r="C1091" s="86"/>
      <c r="D1091" s="86" t="s">
        <v>912</v>
      </c>
      <c r="E1091" s="87"/>
      <c r="F1091" s="88" t="b">
        <v>0</v>
      </c>
      <c r="G1091" s="88" t="b">
        <f>IF(G1083=TRUE,TRUE,FALSE)</f>
        <v>0</v>
      </c>
      <c r="H1091" s="34" t="str">
        <f>IF(G1091=TRUE,H1083,"")</f>
        <v/>
      </c>
      <c r="I1091" s="34"/>
      <c r="J1091" s="14"/>
    </row>
    <row r="1092" hidden="1">
      <c r="A1092" s="90" t="str">
        <f>HYPERLINK("https://github.com/pytorch/pytorch/blob/f99ab991dcd3719ee25dd3377a53ea12e518308e/test/package/test_load_bc_packages.py#L19", "TestLoadBCPackages")</f>
        <v>TestLoadBCPackages</v>
      </c>
      <c r="B1092" s="91" t="s">
        <v>1153</v>
      </c>
      <c r="C1092" s="91"/>
      <c r="D1092" s="91" t="s">
        <v>912</v>
      </c>
      <c r="E1092" s="92"/>
      <c r="F1092" s="93" t="b">
        <v>0</v>
      </c>
      <c r="G1092" s="93" t="b">
        <f>IF(G1083=TRUE,TRUE,FALSE)</f>
        <v>0</v>
      </c>
      <c r="H1092" s="34" t="str">
        <f>IF(G1092=TRUE,H1083,"")</f>
        <v/>
      </c>
      <c r="I1092" s="34"/>
      <c r="J1092" s="14"/>
    </row>
    <row r="1093" hidden="1">
      <c r="A1093" s="85" t="str">
        <f>HYPERLINK("https://github.com/pytorch/pytorch/blob/f99ab991dcd3719ee25dd3377a53ea12e518308e/test/package/test_mangling.py#L22", "TestMangling")</f>
        <v>TestMangling</v>
      </c>
      <c r="B1093" s="86" t="s">
        <v>1154</v>
      </c>
      <c r="C1093" s="86"/>
      <c r="D1093" s="86" t="s">
        <v>912</v>
      </c>
      <c r="E1093" s="87"/>
      <c r="F1093" s="88" t="b">
        <v>0</v>
      </c>
      <c r="G1093" s="88" t="b">
        <f>IF(G1083=TRUE,TRUE,FALSE)</f>
        <v>0</v>
      </c>
      <c r="H1093" s="34" t="str">
        <f>IF(G1093=TRUE,H1083,"")</f>
        <v/>
      </c>
      <c r="I1093" s="34"/>
      <c r="J1093" s="14"/>
    </row>
    <row r="1094" hidden="1">
      <c r="A1094" s="90" t="str">
        <f>HYPERLINK("https://github.com/pytorch/pytorch/blob/f99ab991dcd3719ee25dd3377a53ea12e518308e/test/package/test_misc.py#L29", "TestMisc")</f>
        <v>TestMisc</v>
      </c>
      <c r="B1094" s="91" t="s">
        <v>1155</v>
      </c>
      <c r="C1094" s="91"/>
      <c r="D1094" s="91" t="s">
        <v>912</v>
      </c>
      <c r="E1094" s="92"/>
      <c r="F1094" s="93" t="b">
        <v>0</v>
      </c>
      <c r="G1094" s="93" t="b">
        <f>IF(G1083=TRUE,TRUE,FALSE)</f>
        <v>0</v>
      </c>
      <c r="H1094" s="34" t="str">
        <f>IF(G1094=TRUE,H1083,"")</f>
        <v/>
      </c>
      <c r="I1094" s="34"/>
      <c r="J1094" s="14"/>
    </row>
    <row r="1095" hidden="1">
      <c r="A1095" s="85" t="str">
        <f>HYPERLINK("https://github.com/pytorch/pytorch/blob/f99ab991dcd3719ee25dd3377a53ea12e518308e/test/package/test_model.py#L32", "ModelTest")</f>
        <v>ModelTest</v>
      </c>
      <c r="B1095" s="86" t="s">
        <v>1156</v>
      </c>
      <c r="C1095" s="86"/>
      <c r="D1095" s="86" t="s">
        <v>912</v>
      </c>
      <c r="E1095" s="87"/>
      <c r="F1095" s="88" t="b">
        <v>0</v>
      </c>
      <c r="G1095" s="88" t="b">
        <f>IF(G1083=TRUE,TRUE,FALSE)</f>
        <v>0</v>
      </c>
      <c r="H1095" s="34" t="str">
        <f>IF(G1095=TRUE,H1083,"")</f>
        <v/>
      </c>
      <c r="I1095" s="34"/>
      <c r="J1095" s="14"/>
    </row>
    <row r="1096" hidden="1">
      <c r="A1096" s="90" t="str">
        <f>HYPERLINK("https://github.com/pytorch/pytorch/blob/f99ab991dcd3719ee25dd3377a53ea12e518308e/test/package/test_package_fx.py#L27", "TestPackageFX")</f>
        <v>TestPackageFX</v>
      </c>
      <c r="B1096" s="91" t="s">
        <v>1157</v>
      </c>
      <c r="C1096" s="91"/>
      <c r="D1096" s="91" t="s">
        <v>912</v>
      </c>
      <c r="E1096" s="92"/>
      <c r="F1096" s="93" t="b">
        <v>0</v>
      </c>
      <c r="G1096" s="93" t="b">
        <f>IF(G1083=TRUE,TRUE,FALSE)</f>
        <v>0</v>
      </c>
      <c r="H1096" s="34" t="str">
        <f>IF(G1096=TRUE,H1083,"")</f>
        <v/>
      </c>
      <c r="I1096" s="34"/>
      <c r="J1096" s="14"/>
    </row>
    <row r="1097" hidden="1">
      <c r="A1097" s="85" t="str">
        <f>HYPERLINK("https://github.com/pytorch/pytorch/blob/f99ab991dcd3719ee25dd3377a53ea12e518308e/test/package/test_package_script.py#L32", "TestPackageScript")</f>
        <v>TestPackageScript</v>
      </c>
      <c r="B1097" s="86" t="s">
        <v>1158</v>
      </c>
      <c r="C1097" s="86"/>
      <c r="D1097" s="86" t="s">
        <v>912</v>
      </c>
      <c r="E1097" s="87"/>
      <c r="F1097" s="88" t="b">
        <v>0</v>
      </c>
      <c r="G1097" s="88" t="b">
        <f>IF(G1083=TRUE,TRUE,FALSE)</f>
        <v>0</v>
      </c>
      <c r="H1097" s="34" t="str">
        <f>IF(G1097=TRUE,H1083,"")</f>
        <v/>
      </c>
      <c r="I1097" s="34"/>
      <c r="J1097" s="14"/>
    </row>
    <row r="1098" hidden="1">
      <c r="A1098" s="90" t="str">
        <f>HYPERLINK("https://github.com/pytorch/pytorch/blob/f99ab991dcd3719ee25dd3377a53ea12e518308e/test/package/test_repackage.py#L16", "TestRepackage")</f>
        <v>TestRepackage</v>
      </c>
      <c r="B1098" s="91" t="s">
        <v>1159</v>
      </c>
      <c r="C1098" s="91"/>
      <c r="D1098" s="91" t="s">
        <v>912</v>
      </c>
      <c r="E1098" s="92"/>
      <c r="F1098" s="93" t="b">
        <v>0</v>
      </c>
      <c r="G1098" s="93" t="b">
        <f>IF(G1083=TRUE,TRUE,FALSE)</f>
        <v>0</v>
      </c>
      <c r="H1098" s="34" t="str">
        <f>IF(G1098=TRUE,H1083,"")</f>
        <v/>
      </c>
      <c r="I1098" s="34"/>
      <c r="J1098" s="14"/>
    </row>
    <row r="1099" hidden="1">
      <c r="A1099" s="85" t="str">
        <f>HYPERLINK("https://github.com/pytorch/pytorch/blob/f99ab991dcd3719ee25dd3377a53ea12e518308e/test/package/test_resources.py#L19", "TestResources")</f>
        <v>TestResources</v>
      </c>
      <c r="B1099" s="86" t="s">
        <v>1160</v>
      </c>
      <c r="C1099" s="86"/>
      <c r="D1099" s="86" t="s">
        <v>912</v>
      </c>
      <c r="E1099" s="87"/>
      <c r="F1099" s="88" t="b">
        <v>0</v>
      </c>
      <c r="G1099" s="88" t="b">
        <f>IF(G1083=TRUE,TRUE,FALSE)</f>
        <v>0</v>
      </c>
      <c r="H1099" s="34" t="str">
        <f>IF(G1099=TRUE,H1083,"")</f>
        <v/>
      </c>
      <c r="I1099" s="34"/>
      <c r="J1099" s="14"/>
    </row>
    <row r="1100" hidden="1">
      <c r="A1100" s="90" t="str">
        <f>HYPERLINK("https://github.com/pytorch/pytorch/blob/f99ab991dcd3719ee25dd3377a53ea12e518308e/test/package/test_save_load.py#L26", "TestSaveLoad")</f>
        <v>TestSaveLoad</v>
      </c>
      <c r="B1100" s="91" t="s">
        <v>1161</v>
      </c>
      <c r="C1100" s="91"/>
      <c r="D1100" s="91" t="s">
        <v>912</v>
      </c>
      <c r="E1100" s="92"/>
      <c r="F1100" s="93" t="b">
        <v>0</v>
      </c>
      <c r="G1100" s="93" t="b">
        <f>IF(G1083=TRUE,TRUE,FALSE)</f>
        <v>0</v>
      </c>
      <c r="H1100" s="34" t="str">
        <f>IF(G1100=TRUE,H1083,"")</f>
        <v/>
      </c>
      <c r="I1100" s="34"/>
      <c r="J1100" s="14"/>
    </row>
    <row r="1101" hidden="1">
      <c r="A1101" s="9" t="s">
        <v>1162</v>
      </c>
      <c r="B1101" s="10"/>
      <c r="C1101" s="10"/>
      <c r="D1101" s="10"/>
      <c r="E1101" s="11"/>
      <c r="F1101" s="12"/>
      <c r="G1101" s="12"/>
      <c r="H1101" s="12"/>
      <c r="I1101" s="12"/>
      <c r="J1101" s="14"/>
    </row>
    <row r="1102" hidden="1">
      <c r="A1102" s="15" t="s">
        <v>1163</v>
      </c>
      <c r="B1102" s="16"/>
      <c r="C1102" s="16"/>
      <c r="D1102" s="16"/>
      <c r="E1102" s="17"/>
      <c r="F1102" s="18" t="b">
        <v>1</v>
      </c>
      <c r="G1102" s="18" t="b">
        <v>0</v>
      </c>
      <c r="H1102" s="20"/>
      <c r="I1102" s="20"/>
      <c r="J1102" s="14"/>
    </row>
    <row r="1103" hidden="1">
      <c r="A1103" s="46" t="str">
        <f>HYPERLINK("https://github.com/pytorch/pytorch/blob/f99ab991dcd3719ee25dd3377a53ea12e518308e/test/distributions/test_distributions.py#L1235", "DistributionsTestCase")</f>
        <v>DistributionsTestCase</v>
      </c>
      <c r="B1103" s="47" t="s">
        <v>1164</v>
      </c>
      <c r="C1103" s="47"/>
      <c r="D1103" s="47" t="s">
        <v>912</v>
      </c>
      <c r="E1103" s="39"/>
      <c r="F1103" s="49" t="b">
        <v>1</v>
      </c>
      <c r="G1103" s="48" t="b">
        <f>IF(G1102=TRUE,TRUE,FALSE)</f>
        <v>0</v>
      </c>
      <c r="H1103" s="47" t="str">
        <f>IF(G1103=TRUE,H1102,"")</f>
        <v/>
      </c>
      <c r="I1103" s="47"/>
      <c r="J1103" s="14"/>
    </row>
    <row r="1104" hidden="1">
      <c r="A1104" s="46" t="str">
        <f>HYPERLINK("https://github.com/pytorch/pytorch/blob/f99ab991dcd3719ee25dd3377a53ea12e518308e/test/distributions/test_distributions.py#L1243", "TestDistributions")</f>
        <v>TestDistributions</v>
      </c>
      <c r="B1104" s="47" t="s">
        <v>1164</v>
      </c>
      <c r="C1104" s="47"/>
      <c r="D1104" s="47" t="s">
        <v>912</v>
      </c>
      <c r="E1104" s="39"/>
      <c r="F1104" s="49" t="b">
        <v>1</v>
      </c>
      <c r="G1104" s="48" t="b">
        <f>IF(G1102=TRUE,TRUE,FALSE)</f>
        <v>0</v>
      </c>
      <c r="H1104" s="47" t="str">
        <f>IF(G1104=TRUE,H1102,"")</f>
        <v/>
      </c>
      <c r="I1104" s="47"/>
      <c r="J1104" s="14"/>
    </row>
    <row r="1105" hidden="1">
      <c r="A1105" s="46" t="str">
        <f>HYPERLINK("https://github.com/pytorch/pytorch/blob/f99ab991dcd3719ee25dd3377a53ea12e518308e/test/distributions/test_distributions.py#L4590", "TestRsample")</f>
        <v>TestRsample</v>
      </c>
      <c r="B1105" s="47" t="s">
        <v>1164</v>
      </c>
      <c r="C1105" s="47"/>
      <c r="D1105" s="47" t="s">
        <v>912</v>
      </c>
      <c r="E1105" s="39"/>
      <c r="F1105" s="49" t="b">
        <v>1</v>
      </c>
      <c r="G1105" s="48" t="b">
        <f>IF(G1102=TRUE,TRUE,FALSE)</f>
        <v>0</v>
      </c>
      <c r="H1105" s="47" t="str">
        <f>IF(G1105=TRUE,H1102,"")</f>
        <v/>
      </c>
      <c r="I1105" s="47"/>
      <c r="J1105" s="14"/>
    </row>
    <row r="1106" hidden="1">
      <c r="A1106" s="46" t="str">
        <f>HYPERLINK("https://github.com/pytorch/pytorch/blob/f99ab991dcd3719ee25dd3377a53ea12e518308e/test/distributions/test_distributions.py#L4876", "TestDistributionShapes")</f>
        <v>TestDistributionShapes</v>
      </c>
      <c r="B1106" s="47" t="s">
        <v>1164</v>
      </c>
      <c r="C1106" s="47"/>
      <c r="D1106" s="47" t="s">
        <v>912</v>
      </c>
      <c r="E1106" s="39"/>
      <c r="F1106" s="49" t="b">
        <v>1</v>
      </c>
      <c r="G1106" s="48" t="b">
        <f>IF(G1102=TRUE,TRUE,FALSE)</f>
        <v>0</v>
      </c>
      <c r="H1106" s="47" t="str">
        <f>IF(G1106=TRUE,H1102,"")</f>
        <v/>
      </c>
      <c r="I1106" s="47"/>
      <c r="J1106" s="14"/>
    </row>
    <row r="1107" hidden="1">
      <c r="A1107" s="46" t="str">
        <f>HYPERLINK("https://github.com/pytorch/pytorch/blob/f99ab991dcd3719ee25dd3377a53ea12e518308e/test/distributions/test_distributions.py#L5501", "TestKL")</f>
        <v>TestKL</v>
      </c>
      <c r="B1107" s="47" t="s">
        <v>1164</v>
      </c>
      <c r="C1107" s="47"/>
      <c r="D1107" s="47" t="s">
        <v>912</v>
      </c>
      <c r="E1107" s="39"/>
      <c r="F1107" s="49" t="b">
        <v>1</v>
      </c>
      <c r="G1107" s="48" t="b">
        <f>IF(G1102=TRUE,TRUE,FALSE)</f>
        <v>0</v>
      </c>
      <c r="H1107" s="47" t="str">
        <f>IF(G1107=TRUE,H1102,"")</f>
        <v/>
      </c>
      <c r="I1107" s="47"/>
      <c r="J1107" s="14"/>
    </row>
    <row r="1108" hidden="1">
      <c r="A1108" s="46" t="str">
        <f>HYPERLINK("https://github.com/pytorch/pytorch/blob/f99ab991dcd3719ee25dd3377a53ea12e518308e/test/distributions/test_distributions.py#L6026", "TestConstraints")</f>
        <v>TestConstraints</v>
      </c>
      <c r="B1108" s="47" t="s">
        <v>1164</v>
      </c>
      <c r="C1108" s="47"/>
      <c r="D1108" s="47" t="s">
        <v>912</v>
      </c>
      <c r="E1108" s="39"/>
      <c r="F1108" s="49" t="b">
        <v>1</v>
      </c>
      <c r="G1108" s="48" t="b">
        <f>IF(G1102=TRUE,TRUE,FALSE)</f>
        <v>0</v>
      </c>
      <c r="H1108" s="47" t="str">
        <f>IF(G1108=TRUE,H1102,"")</f>
        <v/>
      </c>
      <c r="I1108" s="47"/>
      <c r="J1108" s="14"/>
    </row>
    <row r="1109" hidden="1">
      <c r="A1109" s="46" t="str">
        <f>HYPERLINK("https://github.com/pytorch/pytorch/blob/f99ab991dcd3719ee25dd3377a53ea12e518308e/test/distributions/test_distributions.py#L6083", "TestNumericalStability")</f>
        <v>TestNumericalStability</v>
      </c>
      <c r="B1109" s="47" t="s">
        <v>1164</v>
      </c>
      <c r="C1109" s="47"/>
      <c r="D1109" s="47" t="s">
        <v>912</v>
      </c>
      <c r="E1109" s="39"/>
      <c r="F1109" s="49" t="b">
        <v>1</v>
      </c>
      <c r="G1109" s="48" t="b">
        <f>IF(G1102=TRUE,TRUE,FALSE)</f>
        <v>0</v>
      </c>
      <c r="H1109" s="47" t="str">
        <f>IF(G1109=TRUE,H1102,"")</f>
        <v/>
      </c>
      <c r="I1109" s="47"/>
      <c r="J1109" s="14"/>
    </row>
    <row r="1110" hidden="1">
      <c r="A1110" s="46" t="str">
        <f>HYPERLINK("https://github.com/pytorch/pytorch/blob/f99ab991dcd3719ee25dd3377a53ea12e518308e/test/distributions/test_distributions.py#L6364", "TestLazyLogitsInitialization")</f>
        <v>TestLazyLogitsInitialization</v>
      </c>
      <c r="B1110" s="47" t="s">
        <v>1164</v>
      </c>
      <c r="C1110" s="47"/>
      <c r="D1110" s="47" t="s">
        <v>912</v>
      </c>
      <c r="E1110" s="39"/>
      <c r="F1110" s="49" t="b">
        <v>1</v>
      </c>
      <c r="G1110" s="48" t="b">
        <f>IF(G1102=TRUE,TRUE,FALSE)</f>
        <v>0</v>
      </c>
      <c r="H1110" s="47" t="str">
        <f>IF(G1110=TRUE,H1102,"")</f>
        <v/>
      </c>
      <c r="I1110" s="47"/>
      <c r="J1110" s="14"/>
    </row>
    <row r="1111" hidden="1">
      <c r="A1111" s="46" t="str">
        <f>HYPERLINK("https://github.com/pytorch/pytorch/blob/f99ab991dcd3719ee25dd3377a53ea12e518308e/test/distributions/test_distributions.py#L6416", "TestAgainstScipy")</f>
        <v>TestAgainstScipy</v>
      </c>
      <c r="B1111" s="47" t="s">
        <v>1164</v>
      </c>
      <c r="C1111" s="47"/>
      <c r="D1111" s="47" t="s">
        <v>912</v>
      </c>
      <c r="E1111" s="39"/>
      <c r="F1111" s="49" t="b">
        <v>1</v>
      </c>
      <c r="G1111" s="48" t="b">
        <f>IF(G1102=TRUE,TRUE,FALSE)</f>
        <v>0</v>
      </c>
      <c r="H1111" s="47" t="str">
        <f>IF(G1111=TRUE,H1102,"")</f>
        <v/>
      </c>
      <c r="I1111" s="47"/>
      <c r="J1111" s="14"/>
    </row>
    <row r="1112" hidden="1">
      <c r="A1112" s="46" t="str">
        <f>HYPERLINK("https://github.com/pytorch/pytorch/blob/f99ab991dcd3719ee25dd3377a53ea12e518308e/test/distributions/test_distributions.py#L6625", "TestFunctors")</f>
        <v>TestFunctors</v>
      </c>
      <c r="B1112" s="47" t="s">
        <v>1164</v>
      </c>
      <c r="C1112" s="47"/>
      <c r="D1112" s="47" t="s">
        <v>912</v>
      </c>
      <c r="E1112" s="39"/>
      <c r="F1112" s="49" t="b">
        <v>1</v>
      </c>
      <c r="G1112" s="48" t="b">
        <f>IF(G1102=TRUE,TRUE,FALSE)</f>
        <v>0</v>
      </c>
      <c r="H1112" s="47" t="str">
        <f>IF(G1112=TRUE,H1102,"")</f>
        <v/>
      </c>
      <c r="I1112" s="47"/>
      <c r="J1112" s="14"/>
    </row>
    <row r="1113" hidden="1">
      <c r="A1113" s="46" t="str">
        <f>HYPERLINK("https://github.com/pytorch/pytorch/blob/f99ab991dcd3719ee25dd3377a53ea12e518308e/test/distributions/test_distributions.py#L6768", "TestValidation")</f>
        <v>TestValidation</v>
      </c>
      <c r="B1113" s="47" t="s">
        <v>1164</v>
      </c>
      <c r="C1113" s="47"/>
      <c r="D1113" s="47" t="s">
        <v>912</v>
      </c>
      <c r="E1113" s="39"/>
      <c r="F1113" s="49" t="b">
        <v>1</v>
      </c>
      <c r="G1113" s="48" t="b">
        <f>IF(G1102=TRUE,TRUE,FALSE)</f>
        <v>0</v>
      </c>
      <c r="H1113" s="47" t="str">
        <f>IF(G1113=TRUE,H1102,"")</f>
        <v/>
      </c>
      <c r="I1113" s="47"/>
      <c r="J1113" s="14"/>
    </row>
    <row r="1114" hidden="1">
      <c r="A1114" s="46" t="str">
        <f>HYPERLINK("https://github.com/pytorch/pytorch/blob/f99ab991dcd3719ee25dd3377a53ea12e518308e/test/distributions/test_distributions.py#L6858", "TestJit")</f>
        <v>TestJit</v>
      </c>
      <c r="B1114" s="47" t="s">
        <v>1164</v>
      </c>
      <c r="C1114" s="47"/>
      <c r="D1114" s="47" t="s">
        <v>912</v>
      </c>
      <c r="E1114" s="39"/>
      <c r="F1114" s="49" t="b">
        <v>1</v>
      </c>
      <c r="G1114" s="48" t="b">
        <f>IF(G1102=TRUE,TRUE,FALSE)</f>
        <v>0</v>
      </c>
      <c r="H1114" s="47" t="str">
        <f>IF(G1114=TRUE,H1102,"")</f>
        <v/>
      </c>
      <c r="I1114" s="47"/>
      <c r="J1114" s="14"/>
    </row>
    <row r="1115" hidden="1">
      <c r="A1115" s="9" t="s">
        <v>1165</v>
      </c>
      <c r="B1115" s="10"/>
      <c r="C1115" s="10"/>
      <c r="D1115" s="10"/>
      <c r="E1115" s="11"/>
      <c r="F1115" s="12"/>
      <c r="G1115" s="12"/>
      <c r="H1115" s="12"/>
      <c r="I1115" s="12"/>
      <c r="J1115" s="14"/>
    </row>
    <row r="1116" hidden="1">
      <c r="A1116" s="15" t="s">
        <v>1166</v>
      </c>
      <c r="B1116" s="16"/>
      <c r="C1116" s="16"/>
      <c r="D1116" s="16"/>
      <c r="E1116" s="17"/>
      <c r="F1116" s="18" t="b">
        <v>1</v>
      </c>
      <c r="G1116" s="18" t="b">
        <v>0</v>
      </c>
      <c r="H1116" s="20"/>
      <c r="I1116" s="20"/>
      <c r="J1116" s="14"/>
    </row>
    <row r="1117" hidden="1">
      <c r="A1117" s="85" t="str">
        <f>HYPERLINK("https://github.com/pytorch/pytorch/blob/f99ab991dcd3719ee25dd3377a53ea12e518308e/test/ao/sparsity/test_activation_sparsifier.py#L45", "TestActivationSparsifier")</f>
        <v>TestActivationSparsifier</v>
      </c>
      <c r="B1117" s="86" t="s">
        <v>1167</v>
      </c>
      <c r="C1117" s="86"/>
      <c r="D1117" s="86" t="s">
        <v>912</v>
      </c>
      <c r="E1117" s="87"/>
      <c r="F1117" s="88" t="b">
        <v>0</v>
      </c>
      <c r="G1117" s="88" t="b">
        <f>IF(G1116=TRUE,TRUE,FALSE)</f>
        <v>0</v>
      </c>
      <c r="H1117" s="34" t="str">
        <f>IF(G1117=TRUE,H1116,"")</f>
        <v/>
      </c>
      <c r="I1117" s="34"/>
      <c r="J1117" s="14"/>
    </row>
    <row r="1118" hidden="1">
      <c r="A1118" s="90" t="str">
        <f>HYPERLINK("https://github.com/pytorch/pytorch/blob/f99ab991dcd3719ee25dd3377a53ea12e518308e/test/ao/sparsity/test_composability.py#L74", "TestComposability")</f>
        <v>TestComposability</v>
      </c>
      <c r="B1118" s="91" t="s">
        <v>1168</v>
      </c>
      <c r="C1118" s="91"/>
      <c r="D1118" s="91" t="s">
        <v>912</v>
      </c>
      <c r="E1118" s="92"/>
      <c r="F1118" s="93" t="b">
        <v>0</v>
      </c>
      <c r="G1118" s="93" t="b">
        <f>IF(G1116=TRUE,TRUE,FALSE)</f>
        <v>0</v>
      </c>
      <c r="H1118" s="34" t="str">
        <f>IF(G1118=TRUE,H1116,"")</f>
        <v/>
      </c>
      <c r="I1118" s="34"/>
      <c r="J1118" s="14"/>
    </row>
    <row r="1119" hidden="1">
      <c r="A1119" s="85" t="str">
        <f>HYPERLINK("https://github.com/pytorch/pytorch/blob/f99ab991dcd3719ee25dd3377a53ea12e518308e/test/ao/sparsity/test_composability.py#L343", "TestFxComposability")</f>
        <v>TestFxComposability</v>
      </c>
      <c r="B1119" s="86" t="s">
        <v>1168</v>
      </c>
      <c r="C1119" s="86"/>
      <c r="D1119" s="86" t="s">
        <v>912</v>
      </c>
      <c r="E1119" s="87"/>
      <c r="F1119" s="88" t="b">
        <v>0</v>
      </c>
      <c r="G1119" s="88" t="b">
        <f>IF(G1116=TRUE,TRUE,FALSE)</f>
        <v>0</v>
      </c>
      <c r="H1119" s="34" t="str">
        <f>IF(G1119=TRUE,H1116,"")</f>
        <v/>
      </c>
      <c r="I1119" s="34"/>
      <c r="J1119" s="14"/>
    </row>
    <row r="1120" hidden="1">
      <c r="A1120" s="90" t="str">
        <f>HYPERLINK("https://github.com/pytorch/pytorch/blob/f99ab991dcd3719ee25dd3377a53ea12e518308e/test/ao/sparsity/test_data_scheduler.py#L27", "TestBaseDataScheduler")</f>
        <v>TestBaseDataScheduler</v>
      </c>
      <c r="B1120" s="91" t="s">
        <v>1169</v>
      </c>
      <c r="C1120" s="91"/>
      <c r="D1120" s="91" t="s">
        <v>912</v>
      </c>
      <c r="E1120" s="92"/>
      <c r="F1120" s="93" t="b">
        <v>0</v>
      </c>
      <c r="G1120" s="93" t="b">
        <f>IF(G1116=TRUE,TRUE,FALSE)</f>
        <v>0</v>
      </c>
      <c r="H1120" s="34" t="str">
        <f>IF(G1120=TRUE,H1116,"")</f>
        <v/>
      </c>
      <c r="I1120" s="34"/>
      <c r="J1120" s="14"/>
    </row>
    <row r="1121" hidden="1">
      <c r="A1121" s="85" t="str">
        <f>HYPERLINK("https://github.com/pytorch/pytorch/blob/f99ab991dcd3719ee25dd3377a53ea12e518308e/test/ao/sparsity/test_data_sparsifier.py#L31", "_BaseDataSparsiferTestCase")</f>
        <v>_BaseDataSparsiferTestCase</v>
      </c>
      <c r="B1121" s="86" t="s">
        <v>1170</v>
      </c>
      <c r="C1121" s="86"/>
      <c r="D1121" s="86" t="s">
        <v>912</v>
      </c>
      <c r="E1121" s="87"/>
      <c r="F1121" s="88" t="b">
        <v>0</v>
      </c>
      <c r="G1121" s="88" t="b">
        <f>IF(G1116=TRUE,TRUE,FALSE)</f>
        <v>0</v>
      </c>
      <c r="H1121" s="34" t="str">
        <f>IF(G1121=TRUE,H1116,"")</f>
        <v/>
      </c>
      <c r="I1121" s="34"/>
      <c r="J1121" s="14"/>
    </row>
    <row r="1122" hidden="1">
      <c r="A1122" s="90" t="str">
        <f>HYPERLINK("https://github.com/pytorch/pytorch/blob/f99ab991dcd3719ee25dd3377a53ea12e518308e/test/ao/sparsity/test_data_sparsifier.py#L298", "_NormDataSparsifierTestCase")</f>
        <v>_NormDataSparsifierTestCase</v>
      </c>
      <c r="B1122" s="91" t="s">
        <v>1170</v>
      </c>
      <c r="C1122" s="91"/>
      <c r="D1122" s="91" t="s">
        <v>912</v>
      </c>
      <c r="E1122" s="92"/>
      <c r="F1122" s="93" t="b">
        <v>0</v>
      </c>
      <c r="G1122" s="93" t="b">
        <f>IF(G1116=TRUE,TRUE,FALSE)</f>
        <v>0</v>
      </c>
      <c r="H1122" s="34" t="str">
        <f>IF(G1122=TRUE,H1116,"")</f>
        <v/>
      </c>
      <c r="I1122" s="34"/>
      <c r="J1122" s="14"/>
    </row>
    <row r="1123" hidden="1">
      <c r="A1123" s="85" t="str">
        <f>HYPERLINK("https://github.com/pytorch/pytorch/blob/f99ab991dcd3719ee25dd3377a53ea12e518308e/test/ao/sparsity/test_data_sparsifier.py#L498", "TestBaseDataSparsifier")</f>
        <v>TestBaseDataSparsifier</v>
      </c>
      <c r="B1123" s="86" t="s">
        <v>1170</v>
      </c>
      <c r="C1123" s="86"/>
      <c r="D1123" s="86" t="s">
        <v>912</v>
      </c>
      <c r="E1123" s="87"/>
      <c r="F1123" s="88" t="b">
        <v>0</v>
      </c>
      <c r="G1123" s="88" t="b">
        <f>IF(G1116=TRUE,TRUE,FALSE)</f>
        <v>0</v>
      </c>
      <c r="H1123" s="34" t="str">
        <f>IF(G1123=TRUE,H1116,"")</f>
        <v/>
      </c>
      <c r="I1123" s="34"/>
      <c r="J1123" s="14"/>
    </row>
    <row r="1124" hidden="1">
      <c r="A1124" s="90" t="str">
        <f>HYPERLINK("https://github.com/pytorch/pytorch/blob/f99ab991dcd3719ee25dd3377a53ea12e518308e/test/ao/sparsity/test_data_sparsifier.py#L571", "TestNormDataSparsifiers")</f>
        <v>TestNormDataSparsifiers</v>
      </c>
      <c r="B1124" s="91" t="s">
        <v>1170</v>
      </c>
      <c r="C1124" s="91"/>
      <c r="D1124" s="91" t="s">
        <v>912</v>
      </c>
      <c r="E1124" s="92"/>
      <c r="F1124" s="93" t="b">
        <v>0</v>
      </c>
      <c r="G1124" s="93" t="b">
        <f>IF(G1116=TRUE,TRUE,FALSE)</f>
        <v>0</v>
      </c>
      <c r="H1124" s="34" t="str">
        <f>IF(G1124=TRUE,H1116,"")</f>
        <v/>
      </c>
      <c r="I1124" s="34"/>
      <c r="J1124" s="14"/>
    </row>
    <row r="1125" hidden="1">
      <c r="A1125" s="85" t="str">
        <f>HYPERLINK("https://github.com/pytorch/pytorch/blob/f99ab991dcd3719ee25dd3377a53ea12e518308e/test/ao/sparsity/test_data_sparsifier.py#L742", "TestQuantizationUtils")</f>
        <v>TestQuantizationUtils</v>
      </c>
      <c r="B1125" s="86" t="s">
        <v>1170</v>
      </c>
      <c r="C1125" s="86"/>
      <c r="D1125" s="86" t="s">
        <v>912</v>
      </c>
      <c r="E1125" s="87"/>
      <c r="F1125" s="88" t="b">
        <v>0</v>
      </c>
      <c r="G1125" s="88" t="b">
        <f>IF(G1116=TRUE,TRUE,FALSE)</f>
        <v>0</v>
      </c>
      <c r="H1125" s="34" t="str">
        <f>IF(G1125=TRUE,H1116,"")</f>
        <v/>
      </c>
      <c r="I1125" s="34"/>
      <c r="J1125" s="14"/>
    </row>
    <row r="1126" hidden="1">
      <c r="A1126" s="90" t="str">
        <f>HYPERLINK("https://github.com/pytorch/pytorch/blob/f99ab991dcd3719ee25dd3377a53ea12e518308e/test/ao/sparsity/test_kernels.py#L34", "TestQuantizedSparseKernels")</f>
        <v>TestQuantizedSparseKernels</v>
      </c>
      <c r="B1126" s="91" t="s">
        <v>1171</v>
      </c>
      <c r="C1126" s="91"/>
      <c r="D1126" s="91" t="s">
        <v>912</v>
      </c>
      <c r="E1126" s="92"/>
      <c r="F1126" s="93" t="b">
        <v>0</v>
      </c>
      <c r="G1126" s="93" t="b">
        <f>IF(G1116=TRUE,TRUE,FALSE)</f>
        <v>0</v>
      </c>
      <c r="H1126" s="34" t="str">
        <f>IF(G1126=TRUE,H1116,"")</f>
        <v/>
      </c>
      <c r="I1126" s="34"/>
      <c r="J1126" s="14"/>
    </row>
    <row r="1127" hidden="1">
      <c r="A1127" s="85" t="str">
        <f>HYPERLINK("https://github.com/pytorch/pytorch/blob/f99ab991dcd3719ee25dd3377a53ea12e518308e/test/ao/sparsity/test_kernels.py#L264", "TestQuantizedSparseLayers")</f>
        <v>TestQuantizedSparseLayers</v>
      </c>
      <c r="B1127" s="86" t="s">
        <v>1171</v>
      </c>
      <c r="C1127" s="86"/>
      <c r="D1127" s="86" t="s">
        <v>912</v>
      </c>
      <c r="E1127" s="87"/>
      <c r="F1127" s="88" t="b">
        <v>0</v>
      </c>
      <c r="G1127" s="88" t="b">
        <f>IF(G1116=TRUE,TRUE,FALSE)</f>
        <v>0</v>
      </c>
      <c r="H1127" s="34" t="str">
        <f>IF(G1127=TRUE,H1116,"")</f>
        <v/>
      </c>
      <c r="I1127" s="34"/>
      <c r="J1127" s="14"/>
    </row>
    <row r="1128" hidden="1">
      <c r="A1128" s="90" t="str">
        <f>HYPERLINK("https://github.com/pytorch/pytorch/blob/f99ab991dcd3719ee25dd3377a53ea12e518308e/test/ao/sparsity/test_parametrization.py#L34", "TestFakeSparsity")</f>
        <v>TestFakeSparsity</v>
      </c>
      <c r="B1128" s="91" t="s">
        <v>1172</v>
      </c>
      <c r="C1128" s="91"/>
      <c r="D1128" s="91" t="s">
        <v>912</v>
      </c>
      <c r="E1128" s="92"/>
      <c r="F1128" s="93" t="b">
        <v>0</v>
      </c>
      <c r="G1128" s="93" t="b">
        <f>IF(G1116=TRUE,TRUE,FALSE)</f>
        <v>0</v>
      </c>
      <c r="H1128" s="34" t="str">
        <f>IF(G1128=TRUE,H1116,"")</f>
        <v/>
      </c>
      <c r="I1128" s="34"/>
      <c r="J1128" s="14"/>
    </row>
    <row r="1129" hidden="1">
      <c r="A1129" s="85" t="str">
        <f>HYPERLINK("https://github.com/pytorch/pytorch/blob/f99ab991dcd3719ee25dd3377a53ea12e518308e/test/ao/sparsity/test_qlinear_packed_params.py#L17", "TestQlinearPackedParams")</f>
        <v>TestQlinearPackedParams</v>
      </c>
      <c r="B1129" s="86" t="s">
        <v>1173</v>
      </c>
      <c r="C1129" s="86"/>
      <c r="D1129" s="86" t="s">
        <v>912</v>
      </c>
      <c r="E1129" s="87"/>
      <c r="F1129" s="88" t="b">
        <v>0</v>
      </c>
      <c r="G1129" s="88" t="b">
        <f>IF(G1116=TRUE,TRUE,FALSE)</f>
        <v>0</v>
      </c>
      <c r="H1129" s="34" t="str">
        <f>IF(G1129=TRUE,H1116,"")</f>
        <v/>
      </c>
      <c r="I1129" s="34"/>
      <c r="J1129" s="14"/>
    </row>
    <row r="1130" hidden="1">
      <c r="A1130" s="90" t="str">
        <f>HYPERLINK("https://github.com/pytorch/pytorch/blob/f99ab991dcd3719ee25dd3377a53ea12e518308e/test/ao/sparsity/test_scheduler.py#L18", "TestScheduler")</f>
        <v>TestScheduler</v>
      </c>
      <c r="B1130" s="91" t="s">
        <v>1174</v>
      </c>
      <c r="C1130" s="91"/>
      <c r="D1130" s="91" t="s">
        <v>912</v>
      </c>
      <c r="E1130" s="92"/>
      <c r="F1130" s="93" t="b">
        <v>0</v>
      </c>
      <c r="G1130" s="93" t="b">
        <f>IF(G1116=TRUE,TRUE,FALSE)</f>
        <v>0</v>
      </c>
      <c r="H1130" s="34" t="str">
        <f>IF(G1130=TRUE,H1116,"")</f>
        <v/>
      </c>
      <c r="I1130" s="34"/>
      <c r="J1130" s="14"/>
    </row>
    <row r="1131" hidden="1">
      <c r="A1131" s="85" t="str">
        <f>HYPERLINK("https://github.com/pytorch/pytorch/blob/f99ab991dcd3719ee25dd3377a53ea12e518308e/test/ao/sparsity/test_scheduler.py#L100", "TestCubicScheduler")</f>
        <v>TestCubicScheduler</v>
      </c>
      <c r="B1131" s="86" t="s">
        <v>1174</v>
      </c>
      <c r="C1131" s="86"/>
      <c r="D1131" s="86" t="s">
        <v>912</v>
      </c>
      <c r="E1131" s="87"/>
      <c r="F1131" s="88" t="b">
        <v>0</v>
      </c>
      <c r="G1131" s="88" t="b">
        <f>IF(G1116=TRUE,TRUE,FALSE)</f>
        <v>0</v>
      </c>
      <c r="H1131" s="34" t="str">
        <f>IF(G1131=TRUE,H1116,"")</f>
        <v/>
      </c>
      <c r="I1131" s="34"/>
      <c r="J1131" s="14"/>
    </row>
    <row r="1132" hidden="1">
      <c r="A1132" s="90" t="str">
        <f>HYPERLINK("https://github.com/pytorch/pytorch/blob/f99ab991dcd3719ee25dd3377a53ea12e518308e/test/ao/sparsity/test_sparsifier.py#L23", "TestBaseSparsifier")</f>
        <v>TestBaseSparsifier</v>
      </c>
      <c r="B1132" s="91" t="s">
        <v>1175</v>
      </c>
      <c r="C1132" s="91"/>
      <c r="D1132" s="91" t="s">
        <v>912</v>
      </c>
      <c r="E1132" s="92"/>
      <c r="F1132" s="93" t="b">
        <v>0</v>
      </c>
      <c r="G1132" s="93" t="b">
        <f>IF(G1116=TRUE,TRUE,FALSE)</f>
        <v>0</v>
      </c>
      <c r="H1132" s="34" t="str">
        <f>IF(G1132=TRUE,H1116,"")</f>
        <v/>
      </c>
      <c r="I1132" s="34"/>
      <c r="J1132" s="14"/>
    </row>
    <row r="1133" hidden="1">
      <c r="A1133" s="85" t="str">
        <f>HYPERLINK("https://github.com/pytorch/pytorch/blob/f99ab991dcd3719ee25dd3377a53ea12e518308e/test/ao/sparsity/test_sparsifier.py#L340", "TestWeightNormSparsifier")</f>
        <v>TestWeightNormSparsifier</v>
      </c>
      <c r="B1133" s="86" t="s">
        <v>1175</v>
      </c>
      <c r="C1133" s="86"/>
      <c r="D1133" s="86" t="s">
        <v>912</v>
      </c>
      <c r="E1133" s="87"/>
      <c r="F1133" s="88" t="b">
        <v>0</v>
      </c>
      <c r="G1133" s="88" t="b">
        <f>IF(G1116=TRUE,TRUE,FALSE)</f>
        <v>0</v>
      </c>
      <c r="H1133" s="34" t="str">
        <f>IF(G1133=TRUE,H1116,"")</f>
        <v/>
      </c>
      <c r="I1133" s="34"/>
      <c r="J1133" s="14"/>
    </row>
    <row r="1134" hidden="1">
      <c r="A1134" s="90" t="str">
        <f>HYPERLINK("https://github.com/pytorch/pytorch/blob/f99ab991dcd3719ee25dd3377a53ea12e518308e/test/ao/sparsity/test_sparsifier.py#L504", "TestNearlyDiagonalSparsifier")</f>
        <v>TestNearlyDiagonalSparsifier</v>
      </c>
      <c r="B1134" s="91" t="s">
        <v>1175</v>
      </c>
      <c r="C1134" s="91"/>
      <c r="D1134" s="91" t="s">
        <v>912</v>
      </c>
      <c r="E1134" s="92"/>
      <c r="F1134" s="93" t="b">
        <v>0</v>
      </c>
      <c r="G1134" s="93" t="b">
        <f>IF(G1116=TRUE,TRUE,FALSE)</f>
        <v>0</v>
      </c>
      <c r="H1134" s="34" t="str">
        <f>IF(G1134=TRUE,H1116,"")</f>
        <v/>
      </c>
      <c r="I1134" s="34"/>
      <c r="J1134" s="14"/>
    </row>
    <row r="1135" hidden="1">
      <c r="A1135" s="85" t="str">
        <f>HYPERLINK("https://github.com/pytorch/pytorch/blob/f99ab991dcd3719ee25dd3377a53ea12e518308e/test/ao/sparsity/test_sparsity_utils.py#L39", "TestSparsityUtilFunctions")</f>
        <v>TestSparsityUtilFunctions</v>
      </c>
      <c r="B1135" s="86" t="s">
        <v>1176</v>
      </c>
      <c r="C1135" s="86"/>
      <c r="D1135" s="86" t="s">
        <v>912</v>
      </c>
      <c r="E1135" s="87"/>
      <c r="F1135" s="88" t="b">
        <v>0</v>
      </c>
      <c r="G1135" s="88" t="b">
        <f>IF(G1116=TRUE,TRUE,FALSE)</f>
        <v>0</v>
      </c>
      <c r="H1135" s="34" t="str">
        <f>IF(G1135=TRUE,H1116,"")</f>
        <v/>
      </c>
      <c r="I1135" s="34"/>
      <c r="J1135" s="14"/>
    </row>
    <row r="1136" hidden="1">
      <c r="A1136" s="90" t="str">
        <f>HYPERLINK("https://github.com/pytorch/pytorch/blob/f99ab991dcd3719ee25dd3377a53ea12e518308e/test/ao/sparsity/test_structured_sparsifier.py#L75", "TestSaliencyPruner")</f>
        <v>TestSaliencyPruner</v>
      </c>
      <c r="B1136" s="91" t="s">
        <v>1177</v>
      </c>
      <c r="C1136" s="91"/>
      <c r="D1136" s="91" t="s">
        <v>912</v>
      </c>
      <c r="E1136" s="92"/>
      <c r="F1136" s="93" t="b">
        <v>0</v>
      </c>
      <c r="G1136" s="93" t="b">
        <f>IF(G1116=TRUE,TRUE,FALSE)</f>
        <v>0</v>
      </c>
      <c r="H1136" s="34" t="str">
        <f>IF(G1136=TRUE,H1116,"")</f>
        <v/>
      </c>
      <c r="I1136" s="34"/>
      <c r="J1136" s="14"/>
    </row>
    <row r="1137" hidden="1">
      <c r="A1137" s="85" t="str">
        <f>HYPERLINK("https://github.com/pytorch/pytorch/blob/f99ab991dcd3719ee25dd3377a53ea12e518308e/test/ao/sparsity/test_structured_sparsifier.py#L160", "TestBaseStructuredSparsifier")</f>
        <v>TestBaseStructuredSparsifier</v>
      </c>
      <c r="B1137" s="86" t="s">
        <v>1177</v>
      </c>
      <c r="C1137" s="86"/>
      <c r="D1137" s="86" t="s">
        <v>912</v>
      </c>
      <c r="E1137" s="87"/>
      <c r="F1137" s="88" t="b">
        <v>0</v>
      </c>
      <c r="G1137" s="88" t="b">
        <f>IF(G1116=TRUE,TRUE,FALSE)</f>
        <v>0</v>
      </c>
      <c r="H1137" s="34" t="str">
        <f>IF(G1137=TRUE,H1116,"")</f>
        <v/>
      </c>
      <c r="I1137" s="34"/>
      <c r="J1137" s="14"/>
    </row>
    <row r="1138" hidden="1">
      <c r="A1138" s="90" t="str">
        <f>HYPERLINK("https://github.com/pytorch/pytorch/blob/f99ab991dcd3719ee25dd3377a53ea12e518308e/test/ao/sparsity/test_structured_sparsifier.py#L992", "TestFPGMPruner")</f>
        <v>TestFPGMPruner</v>
      </c>
      <c r="B1138" s="91" t="s">
        <v>1177</v>
      </c>
      <c r="C1138" s="91"/>
      <c r="D1138" s="91" t="s">
        <v>912</v>
      </c>
      <c r="E1138" s="92"/>
      <c r="F1138" s="93" t="b">
        <v>0</v>
      </c>
      <c r="G1138" s="93" t="b">
        <f>IF(G1116=TRUE,TRUE,FALSE)</f>
        <v>0</v>
      </c>
      <c r="H1138" s="34" t="str">
        <f>IF(G1138=TRUE,H1116,"")</f>
        <v/>
      </c>
      <c r="I1138" s="34"/>
      <c r="J1138" s="14"/>
    </row>
    <row r="1139" hidden="1">
      <c r="A1139" s="9" t="s">
        <v>1178</v>
      </c>
      <c r="B1139" s="10"/>
      <c r="C1139" s="10"/>
      <c r="D1139" s="10"/>
      <c r="E1139" s="11"/>
      <c r="F1139" s="12"/>
      <c r="G1139" s="12"/>
      <c r="H1139" s="12"/>
      <c r="I1139" s="12"/>
      <c r="J1139" s="14"/>
    </row>
    <row r="1140" hidden="1">
      <c r="A1140" s="15" t="s">
        <v>1179</v>
      </c>
      <c r="B1140" s="16"/>
      <c r="C1140" s="16"/>
      <c r="D1140" s="16"/>
      <c r="E1140" s="17"/>
      <c r="F1140" s="18" t="b">
        <v>1</v>
      </c>
      <c r="G1140" s="18" t="b">
        <v>0</v>
      </c>
      <c r="H1140" s="20"/>
      <c r="I1140" s="20"/>
      <c r="J1140" s="14"/>
    </row>
    <row r="1141" hidden="1">
      <c r="A1141" s="85" t="str">
        <f>HYPERLINK("https://github.com/pytorch/pytorch/blob/f99ab991dcd3719ee25dd3377a53ea12e518308e/test/test_tensorexpr.py#L17", "BaseTestClass")</f>
        <v>BaseTestClass</v>
      </c>
      <c r="B1141" s="86" t="s">
        <v>1180</v>
      </c>
      <c r="C1141" s="86"/>
      <c r="D1141" s="86" t="s">
        <v>912</v>
      </c>
      <c r="E1141" s="87"/>
      <c r="F1141" s="88" t="b">
        <v>0</v>
      </c>
      <c r="G1141" s="88" t="b">
        <f>IF(G1140=TRUE,TRUE,FALSE)</f>
        <v>0</v>
      </c>
      <c r="H1141" s="34" t="str">
        <f>IF(G1141=TRUE,H1140,"")</f>
        <v/>
      </c>
      <c r="I1141" s="34"/>
      <c r="J1141" s="14"/>
    </row>
    <row r="1142" hidden="1">
      <c r="A1142" s="90" t="str">
        <f>HYPERLINK("https://github.com/pytorch/pytorch/blob/f99ab991dcd3719ee25dd3377a53ea12e518308e/test/test_tensorexpr.py#L39", "TestTensorExprFuser")</f>
        <v>TestTensorExprFuser</v>
      </c>
      <c r="B1142" s="91" t="s">
        <v>1180</v>
      </c>
      <c r="C1142" s="91"/>
      <c r="D1142" s="91" t="s">
        <v>912</v>
      </c>
      <c r="E1142" s="92"/>
      <c r="F1142" s="93" t="b">
        <v>0</v>
      </c>
      <c r="G1142" s="93" t="b">
        <f>IF(G1140=TRUE,TRUE,FALSE)</f>
        <v>0</v>
      </c>
      <c r="H1142" s="34" t="str">
        <f>IF(G1142=TRUE,H1140,"")</f>
        <v/>
      </c>
      <c r="I1142" s="34"/>
      <c r="J1142" s="14"/>
    </row>
    <row r="1143" hidden="1">
      <c r="A1143" s="85" t="str">
        <f>HYPERLINK("https://github.com/pytorch/pytorch/blob/f99ab991dcd3719ee25dd3377a53ea12e518308e/test/test_tensorexpr_pybind.py#L30", "TestTensorExprPyBind")</f>
        <v>TestTensorExprPyBind</v>
      </c>
      <c r="B1143" s="86" t="s">
        <v>1181</v>
      </c>
      <c r="C1143" s="86"/>
      <c r="D1143" s="86" t="s">
        <v>912</v>
      </c>
      <c r="E1143" s="87"/>
      <c r="F1143" s="88" t="b">
        <v>0</v>
      </c>
      <c r="G1143" s="88" t="b">
        <f>IF(G1140=TRUE,TRUE,FALSE)</f>
        <v>0</v>
      </c>
      <c r="H1143" s="34" t="str">
        <f>IF(G1143=TRUE,H1140,"")</f>
        <v/>
      </c>
      <c r="I1143" s="34"/>
      <c r="J1143" s="14"/>
    </row>
    <row r="1144" hidden="1">
      <c r="A1144" s="90" t="str">
        <f>HYPERLINK("https://github.com/pytorch/pytorch/blob/f99ab991dcd3719ee25dd3377a53ea12e518308e/test/test_tensorexpr_pybind.py#L409", "TestExprHandlePyBind")</f>
        <v>TestExprHandlePyBind</v>
      </c>
      <c r="B1144" s="91" t="s">
        <v>1181</v>
      </c>
      <c r="C1144" s="91"/>
      <c r="D1144" s="91" t="s">
        <v>912</v>
      </c>
      <c r="E1144" s="92"/>
      <c r="F1144" s="93" t="b">
        <v>0</v>
      </c>
      <c r="G1144" s="93" t="b">
        <f>IF(G1140=TRUE,TRUE,FALSE)</f>
        <v>0</v>
      </c>
      <c r="H1144" s="34" t="str">
        <f>IF(G1144=TRUE,H1140,"")</f>
        <v/>
      </c>
      <c r="I1144" s="34"/>
      <c r="J1144" s="14"/>
    </row>
    <row r="1145" hidden="1">
      <c r="A1145" s="9" t="s">
        <v>1182</v>
      </c>
      <c r="B1145" s="10"/>
      <c r="C1145" s="10"/>
      <c r="D1145" s="10"/>
      <c r="E1145" s="11"/>
      <c r="F1145" s="12"/>
      <c r="G1145" s="12"/>
      <c r="H1145" s="12"/>
      <c r="I1145" s="12"/>
      <c r="J1145" s="14"/>
    </row>
    <row r="1146" hidden="1">
      <c r="A1146" s="15" t="s">
        <v>1183</v>
      </c>
      <c r="B1146" s="16"/>
      <c r="C1146" s="16"/>
      <c r="D1146" s="16"/>
      <c r="E1146" s="17"/>
      <c r="F1146" s="18" t="b">
        <v>1</v>
      </c>
      <c r="G1146" s="18" t="b">
        <v>0</v>
      </c>
      <c r="H1146" s="20"/>
      <c r="I1146" s="20"/>
      <c r="J1146" s="14"/>
    </row>
    <row r="1147" hidden="1">
      <c r="A1147" s="85" t="str">
        <f>HYPERLINK("https://github.com/pytorch/pytorch/blob/f99ab991dcd3719ee25dd3377a53ea12e518308e/test/test_metal.py#L10", "TestMetalRewritePass")</f>
        <v>TestMetalRewritePass</v>
      </c>
      <c r="B1147" s="86" t="s">
        <v>1184</v>
      </c>
      <c r="C1147" s="86"/>
      <c r="D1147" s="86" t="s">
        <v>912</v>
      </c>
      <c r="E1147" s="87"/>
      <c r="F1147" s="88" t="b">
        <v>0</v>
      </c>
      <c r="G1147" s="88" t="b">
        <f>IF(G1146=TRUE,TRUE,FALSE)</f>
        <v>0</v>
      </c>
      <c r="H1147" s="34" t="str">
        <f>IF(G1147=TRUE,H1146,"")</f>
        <v/>
      </c>
      <c r="I1147" s="34"/>
      <c r="J1147" s="14"/>
    </row>
    <row r="1148" hidden="1">
      <c r="A1148" s="90" t="str">
        <f>HYPERLINK("https://github.com/pytorch/pytorch/blob/f99ab991dcd3719ee25dd3377a53ea12e518308e/test/test_mps.py#L169", "TestAutocastMPS")</f>
        <v>TestAutocastMPS</v>
      </c>
      <c r="B1148" s="91" t="s">
        <v>1185</v>
      </c>
      <c r="C1148" s="91"/>
      <c r="D1148" s="91" t="s">
        <v>912</v>
      </c>
      <c r="E1148" s="92"/>
      <c r="F1148" s="93" t="b">
        <v>0</v>
      </c>
      <c r="G1148" s="93" t="b">
        <f>IF(G1146=TRUE,TRUE,FALSE)</f>
        <v>0</v>
      </c>
      <c r="H1148" s="34" t="str">
        <f>IF(G1148=TRUE,H1146,"")</f>
        <v/>
      </c>
      <c r="I1148" s="34"/>
      <c r="J1148" s="14"/>
    </row>
    <row r="1149" hidden="1">
      <c r="A1149" s="85" t="str">
        <f>HYPERLINK("https://github.com/pytorch/pytorch/blob/f99ab991dcd3719ee25dd3377a53ea12e518308e/test/test_mps.py#L351", "TestCaseMPS")</f>
        <v>TestCaseMPS</v>
      </c>
      <c r="B1149" s="86" t="s">
        <v>1185</v>
      </c>
      <c r="C1149" s="86"/>
      <c r="D1149" s="86" t="s">
        <v>912</v>
      </c>
      <c r="E1149" s="87"/>
      <c r="F1149" s="88" t="b">
        <v>0</v>
      </c>
      <c r="G1149" s="88" t="b">
        <f>IF(G1146=TRUE,TRUE,FALSE)</f>
        <v>0</v>
      </c>
      <c r="H1149" s="34" t="str">
        <f>IF(G1149=TRUE,H1146,"")</f>
        <v/>
      </c>
      <c r="I1149" s="34"/>
      <c r="J1149" s="14"/>
    </row>
    <row r="1150" hidden="1">
      <c r="A1150" s="90" t="str">
        <f>HYPERLINK("https://github.com/pytorch/pytorch/blob/f99ab991dcd3719ee25dd3377a53ea12e518308e/test/test_mps.py#L375", "TestMemoryLeak")</f>
        <v>TestMemoryLeak</v>
      </c>
      <c r="B1150" s="91" t="s">
        <v>1185</v>
      </c>
      <c r="C1150" s="91"/>
      <c r="D1150" s="91" t="s">
        <v>912</v>
      </c>
      <c r="E1150" s="92"/>
      <c r="F1150" s="93" t="b">
        <v>0</v>
      </c>
      <c r="G1150" s="93" t="b">
        <f>IF(G1146=TRUE,TRUE,FALSE)</f>
        <v>0</v>
      </c>
      <c r="H1150" s="34" t="str">
        <f>IF(G1150=TRUE,H1146,"")</f>
        <v/>
      </c>
      <c r="I1150" s="34"/>
      <c r="J1150" s="14"/>
    </row>
    <row r="1151" hidden="1">
      <c r="A1151" s="85" t="str">
        <f>HYPERLINK("https://github.com/pytorch/pytorch/blob/f99ab991dcd3719ee25dd3377a53ea12e518308e/test/test_mps.py#L413", "TestPixelShuffle")</f>
        <v>TestPixelShuffle</v>
      </c>
      <c r="B1151" s="86" t="s">
        <v>1185</v>
      </c>
      <c r="C1151" s="86"/>
      <c r="D1151" s="86" t="s">
        <v>912</v>
      </c>
      <c r="E1151" s="87"/>
      <c r="F1151" s="88" t="b">
        <v>0</v>
      </c>
      <c r="G1151" s="88" t="b">
        <f>IF(G1146=TRUE,TRUE,FALSE)</f>
        <v>0</v>
      </c>
      <c r="H1151" s="34" t="str">
        <f>IF(G1151=TRUE,H1146,"")</f>
        <v/>
      </c>
      <c r="I1151" s="34"/>
      <c r="J1151" s="14"/>
    </row>
    <row r="1152" hidden="1">
      <c r="A1152" s="90" t="str">
        <f>HYPERLINK("https://github.com/pytorch/pytorch/blob/f99ab991dcd3719ee25dd3377a53ea12e518308e/test/test_mps.py#L548", "MPSReluTest")</f>
        <v>MPSReluTest</v>
      </c>
      <c r="B1152" s="91" t="s">
        <v>1185</v>
      </c>
      <c r="C1152" s="91"/>
      <c r="D1152" s="91" t="s">
        <v>912</v>
      </c>
      <c r="E1152" s="92"/>
      <c r="F1152" s="93" t="b">
        <v>0</v>
      </c>
      <c r="G1152" s="93" t="b">
        <f>IF(G1146=TRUE,TRUE,FALSE)</f>
        <v>0</v>
      </c>
      <c r="H1152" s="34" t="str">
        <f>IF(G1152=TRUE,H1146,"")</f>
        <v/>
      </c>
      <c r="I1152" s="34"/>
      <c r="J1152" s="14"/>
    </row>
    <row r="1153" hidden="1">
      <c r="A1153" s="85" t="str">
        <f>HYPERLINK("https://github.com/pytorch/pytorch/blob/f99ab991dcd3719ee25dd3377a53ea12e518308e/test/test_mps.py#L602", "MatmulTest")</f>
        <v>MatmulTest</v>
      </c>
      <c r="B1153" s="86" t="s">
        <v>1185</v>
      </c>
      <c r="C1153" s="86"/>
      <c r="D1153" s="86" t="s">
        <v>912</v>
      </c>
      <c r="E1153" s="87"/>
      <c r="F1153" s="88" t="b">
        <v>0</v>
      </c>
      <c r="G1153" s="88" t="b">
        <f>IF(G1146=TRUE,TRUE,FALSE)</f>
        <v>0</v>
      </c>
      <c r="H1153" s="34" t="str">
        <f>IF(G1153=TRUE,H1146,"")</f>
        <v/>
      </c>
      <c r="I1153" s="34"/>
      <c r="J1153" s="14"/>
    </row>
    <row r="1154" hidden="1">
      <c r="A1154" s="90" t="str">
        <f>HYPERLINK("https://github.com/pytorch/pytorch/blob/f99ab991dcd3719ee25dd3377a53ea12e518308e/test/test_mps.py#L681", "MPSLeakyReluTest")</f>
        <v>MPSLeakyReluTest</v>
      </c>
      <c r="B1154" s="91" t="s">
        <v>1185</v>
      </c>
      <c r="C1154" s="91"/>
      <c r="D1154" s="91" t="s">
        <v>912</v>
      </c>
      <c r="E1154" s="92"/>
      <c r="F1154" s="93" t="b">
        <v>0</v>
      </c>
      <c r="G1154" s="93" t="b">
        <f>IF(G1146=TRUE,TRUE,FALSE)</f>
        <v>0</v>
      </c>
      <c r="H1154" s="34" t="str">
        <f>IF(G1154=TRUE,H1146,"")</f>
        <v/>
      </c>
      <c r="I1154" s="34"/>
      <c r="J1154" s="14"/>
    </row>
    <row r="1155" hidden="1">
      <c r="A1155" s="85" t="str">
        <f>HYPERLINK("https://github.com/pytorch/pytorch/blob/f99ab991dcd3719ee25dd3377a53ea12e518308e/test/test_mps.py#L735", "TestAvgPool")</f>
        <v>TestAvgPool</v>
      </c>
      <c r="B1155" s="86" t="s">
        <v>1185</v>
      </c>
      <c r="C1155" s="86"/>
      <c r="D1155" s="86" t="s">
        <v>912</v>
      </c>
      <c r="E1155" s="87"/>
      <c r="F1155" s="88" t="b">
        <v>0</v>
      </c>
      <c r="G1155" s="88" t="b">
        <f>IF(G1146=TRUE,TRUE,FALSE)</f>
        <v>0</v>
      </c>
      <c r="H1155" s="34" t="str">
        <f>IF(G1155=TRUE,H1146,"")</f>
        <v/>
      </c>
      <c r="I1155" s="34"/>
      <c r="J1155" s="14"/>
    </row>
    <row r="1156" hidden="1">
      <c r="A1156" s="90" t="str">
        <f>HYPERLINK("https://github.com/pytorch/pytorch/blob/f99ab991dcd3719ee25dd3377a53ea12e518308e/test/test_mps.py#L812", "TestMPS")</f>
        <v>TestMPS</v>
      </c>
      <c r="B1156" s="91" t="s">
        <v>1185</v>
      </c>
      <c r="C1156" s="91"/>
      <c r="D1156" s="91" t="s">
        <v>912</v>
      </c>
      <c r="E1156" s="92"/>
      <c r="F1156" s="93" t="b">
        <v>0</v>
      </c>
      <c r="G1156" s="93" t="b">
        <f>IF(G1146=TRUE,TRUE,FALSE)</f>
        <v>0</v>
      </c>
      <c r="H1156" s="34" t="str">
        <f>IF(G1156=TRUE,H1146,"")</f>
        <v/>
      </c>
      <c r="I1156" s="34"/>
      <c r="J1156" s="14"/>
    </row>
    <row r="1157" hidden="1">
      <c r="A1157" s="85" t="str">
        <f>HYPERLINK("https://github.com/pytorch/pytorch/blob/f99ab991dcd3719ee25dd3377a53ea12e518308e/test/test_mps.py#L8438", "TestLargeTensors")</f>
        <v>TestLargeTensors</v>
      </c>
      <c r="B1157" s="86" t="s">
        <v>1185</v>
      </c>
      <c r="C1157" s="86"/>
      <c r="D1157" s="86" t="s">
        <v>912</v>
      </c>
      <c r="E1157" s="87"/>
      <c r="F1157" s="88" t="b">
        <v>0</v>
      </c>
      <c r="G1157" s="88" t="b">
        <f>IF(G1146=TRUE,TRUE,FALSE)</f>
        <v>0</v>
      </c>
      <c r="H1157" s="34" t="str">
        <f>IF(G1157=TRUE,H1146,"")</f>
        <v/>
      </c>
      <c r="I1157" s="34"/>
      <c r="J1157" s="14"/>
    </row>
    <row r="1158" hidden="1">
      <c r="A1158" s="90" t="str">
        <f>HYPERLINK("https://github.com/pytorch/pytorch/blob/f99ab991dcd3719ee25dd3377a53ea12e518308e/test/test_mps.py#L8479", "TestLogical")</f>
        <v>TestLogical</v>
      </c>
      <c r="B1158" s="91" t="s">
        <v>1185</v>
      </c>
      <c r="C1158" s="91"/>
      <c r="D1158" s="91" t="s">
        <v>912</v>
      </c>
      <c r="E1158" s="92"/>
      <c r="F1158" s="93" t="b">
        <v>0</v>
      </c>
      <c r="G1158" s="93" t="b">
        <f>IF(G1146=TRUE,TRUE,FALSE)</f>
        <v>0</v>
      </c>
      <c r="H1158" s="34" t="str">
        <f>IF(G1158=TRUE,H1146,"")</f>
        <v/>
      </c>
      <c r="I1158" s="34"/>
      <c r="J1158" s="14"/>
    </row>
    <row r="1159" hidden="1">
      <c r="A1159" s="85" t="str">
        <f>HYPERLINK("https://github.com/pytorch/pytorch/blob/f99ab991dcd3719ee25dd3377a53ea12e518308e/test/test_mps.py#L8673", "TestSmoothL1Loss")</f>
        <v>TestSmoothL1Loss</v>
      </c>
      <c r="B1159" s="86" t="s">
        <v>1185</v>
      </c>
      <c r="C1159" s="86"/>
      <c r="D1159" s="86" t="s">
        <v>912</v>
      </c>
      <c r="E1159" s="87"/>
      <c r="F1159" s="88" t="b">
        <v>0</v>
      </c>
      <c r="G1159" s="88" t="b">
        <f>IF(G1146=TRUE,TRUE,FALSE)</f>
        <v>0</v>
      </c>
      <c r="H1159" s="34" t="str">
        <f>IF(G1159=TRUE,H1146,"")</f>
        <v/>
      </c>
      <c r="I1159" s="34"/>
      <c r="J1159" s="14"/>
    </row>
    <row r="1160" hidden="1">
      <c r="A1160" s="90" t="str">
        <f>HYPERLINK("https://github.com/pytorch/pytorch/blob/f99ab991dcd3719ee25dd3377a53ea12e518308e/test/test_mps.py#L8708", "TestNLLLoss")</f>
        <v>TestNLLLoss</v>
      </c>
      <c r="B1160" s="91" t="s">
        <v>1185</v>
      </c>
      <c r="C1160" s="91"/>
      <c r="D1160" s="91" t="s">
        <v>912</v>
      </c>
      <c r="E1160" s="92"/>
      <c r="F1160" s="93" t="b">
        <v>0</v>
      </c>
      <c r="G1160" s="93" t="b">
        <f>IF(G1146=TRUE,TRUE,FALSE)</f>
        <v>0</v>
      </c>
      <c r="H1160" s="34" t="str">
        <f>IF(G1160=TRUE,H1146,"")</f>
        <v/>
      </c>
      <c r="I1160" s="34"/>
      <c r="J1160" s="14"/>
    </row>
    <row r="1161" hidden="1">
      <c r="A1161" s="85" t="str">
        <f>HYPERLINK("https://github.com/pytorch/pytorch/blob/f99ab991dcd3719ee25dd3377a53ea12e518308e/test/test_mps.py#L8881", "TestTopK")</f>
        <v>TestTopK</v>
      </c>
      <c r="B1161" s="86" t="s">
        <v>1185</v>
      </c>
      <c r="C1161" s="86"/>
      <c r="D1161" s="86" t="s">
        <v>912</v>
      </c>
      <c r="E1161" s="87"/>
      <c r="F1161" s="88" t="b">
        <v>0</v>
      </c>
      <c r="G1161" s="88" t="b">
        <f>IF(G1146=TRUE,TRUE,FALSE)</f>
        <v>0</v>
      </c>
      <c r="H1161" s="34" t="str">
        <f>IF(G1161=TRUE,H1146,"")</f>
        <v/>
      </c>
      <c r="I1161" s="34"/>
      <c r="J1161" s="14"/>
    </row>
    <row r="1162" hidden="1">
      <c r="A1162" s="90" t="str">
        <f>HYPERLINK("https://github.com/pytorch/pytorch/blob/f99ab991dcd3719ee25dd3377a53ea12e518308e/test/test_mps.py#L8928", "TestNNMPS")</f>
        <v>TestNNMPS</v>
      </c>
      <c r="B1162" s="91" t="s">
        <v>1185</v>
      </c>
      <c r="C1162" s="91"/>
      <c r="D1162" s="91" t="s">
        <v>912</v>
      </c>
      <c r="E1162" s="92"/>
      <c r="F1162" s="93" t="b">
        <v>0</v>
      </c>
      <c r="G1162" s="93" t="b">
        <f>IF(G1146=TRUE,TRUE,FALSE)</f>
        <v>0</v>
      </c>
      <c r="H1162" s="34" t="str">
        <f>IF(G1162=TRUE,H1146,"")</f>
        <v/>
      </c>
      <c r="I1162" s="34"/>
      <c r="J1162" s="14"/>
    </row>
    <row r="1163" hidden="1">
      <c r="A1163" s="85" t="str">
        <f>HYPERLINK("https://github.com/pytorch/pytorch/blob/f99ab991dcd3719ee25dd3377a53ea12e518308e/test/test_mps.py#L9252", "TestPad")</f>
        <v>TestPad</v>
      </c>
      <c r="B1163" s="86" t="s">
        <v>1185</v>
      </c>
      <c r="C1163" s="86"/>
      <c r="D1163" s="86" t="s">
        <v>912</v>
      </c>
      <c r="E1163" s="87"/>
      <c r="F1163" s="88" t="b">
        <v>0</v>
      </c>
      <c r="G1163" s="88" t="b">
        <f>IF(G1146=TRUE,TRUE,FALSE)</f>
        <v>0</v>
      </c>
      <c r="H1163" s="34" t="str">
        <f>IF(G1163=TRUE,H1146,"")</f>
        <v/>
      </c>
      <c r="I1163" s="34"/>
      <c r="J1163" s="14"/>
    </row>
    <row r="1164" hidden="1">
      <c r="A1164" s="90" t="str">
        <f>HYPERLINK("https://github.com/pytorch/pytorch/blob/f99ab991dcd3719ee25dd3377a53ea12e518308e/test/test_mps.py#L9373", "TestLinalgMPS")</f>
        <v>TestLinalgMPS</v>
      </c>
      <c r="B1164" s="91" t="s">
        <v>1185</v>
      </c>
      <c r="C1164" s="91"/>
      <c r="D1164" s="91" t="s">
        <v>912</v>
      </c>
      <c r="E1164" s="92"/>
      <c r="F1164" s="93" t="b">
        <v>0</v>
      </c>
      <c r="G1164" s="93" t="b">
        <f>IF(G1146=TRUE,TRUE,FALSE)</f>
        <v>0</v>
      </c>
      <c r="H1164" s="34" t="str">
        <f>IF(G1164=TRUE,H1146,"")</f>
        <v/>
      </c>
      <c r="I1164" s="34"/>
      <c r="J1164" s="14"/>
    </row>
    <row r="1165" hidden="1">
      <c r="A1165" s="85" t="str">
        <f>HYPERLINK("https://github.com/pytorch/pytorch/blob/f99ab991dcd3719ee25dd3377a53ea12e518308e/test/test_mps.py#L9631", "TestSDPA")</f>
        <v>TestSDPA</v>
      </c>
      <c r="B1165" s="86" t="s">
        <v>1185</v>
      </c>
      <c r="C1165" s="86"/>
      <c r="D1165" s="86" t="s">
        <v>912</v>
      </c>
      <c r="E1165" s="87"/>
      <c r="F1165" s="88" t="b">
        <v>0</v>
      </c>
      <c r="G1165" s="88" t="b">
        <f>IF(G1146=TRUE,TRUE,FALSE)</f>
        <v>0</v>
      </c>
      <c r="H1165" s="34" t="str">
        <f>IF(G1165=TRUE,H1146,"")</f>
        <v/>
      </c>
      <c r="I1165" s="34"/>
      <c r="J1165" s="14"/>
    </row>
    <row r="1166" hidden="1">
      <c r="A1166" s="90" t="str">
        <f>HYPERLINK("https://github.com/pytorch/pytorch/blob/f99ab991dcd3719ee25dd3377a53ea12e518308e/test/test_mps.py#L10057", "TestGatherScatter")</f>
        <v>TestGatherScatter</v>
      </c>
      <c r="B1166" s="91" t="s">
        <v>1185</v>
      </c>
      <c r="C1166" s="91"/>
      <c r="D1166" s="91" t="s">
        <v>912</v>
      </c>
      <c r="E1166" s="92"/>
      <c r="F1166" s="93" t="b">
        <v>0</v>
      </c>
      <c r="G1166" s="93" t="b">
        <f>IF(G1146=TRUE,TRUE,FALSE)</f>
        <v>0</v>
      </c>
      <c r="H1166" s="34" t="str">
        <f>IF(G1166=TRUE,H1146,"")</f>
        <v/>
      </c>
      <c r="I1166" s="34"/>
      <c r="J1166" s="14"/>
    </row>
    <row r="1167" hidden="1">
      <c r="A1167" s="85" t="str">
        <f>HYPERLINK("https://github.com/pytorch/pytorch/blob/f99ab991dcd3719ee25dd3377a53ea12e518308e/test/test_mps.py#L10122", "TestViewOpsMPS")</f>
        <v>TestViewOpsMPS</v>
      </c>
      <c r="B1167" s="86" t="s">
        <v>1185</v>
      </c>
      <c r="C1167" s="86"/>
      <c r="D1167" s="86" t="s">
        <v>912</v>
      </c>
      <c r="E1167" s="87"/>
      <c r="F1167" s="88" t="b">
        <v>0</v>
      </c>
      <c r="G1167" s="88" t="b">
        <f>IF(G1146=TRUE,TRUE,FALSE)</f>
        <v>0</v>
      </c>
      <c r="H1167" s="34" t="str">
        <f>IF(G1167=TRUE,H1146,"")</f>
        <v/>
      </c>
      <c r="I1167" s="34"/>
      <c r="J1167" s="14"/>
    </row>
    <row r="1168" hidden="1">
      <c r="A1168" s="90" t="str">
        <f>HYPERLINK("https://github.com/pytorch/pytorch/blob/f99ab991dcd3719ee25dd3377a53ea12e518308e/test/test_mps.py#L10941", "TestConvolutionMPS")</f>
        <v>TestConvolutionMPS</v>
      </c>
      <c r="B1168" s="91" t="s">
        <v>1185</v>
      </c>
      <c r="C1168" s="91"/>
      <c r="D1168" s="91" t="s">
        <v>912</v>
      </c>
      <c r="E1168" s="92"/>
      <c r="F1168" s="93" t="b">
        <v>0</v>
      </c>
      <c r="G1168" s="93" t="b">
        <f>IF(G1146=TRUE,TRUE,FALSE)</f>
        <v>0</v>
      </c>
      <c r="H1168" s="34" t="str">
        <f>IF(G1168=TRUE,H1146,"")</f>
        <v/>
      </c>
      <c r="I1168" s="34"/>
      <c r="J1168" s="14"/>
    </row>
    <row r="1169" hidden="1">
      <c r="A1169" s="85" t="str">
        <f>HYPERLINK("https://github.com/pytorch/pytorch/blob/f99ab991dcd3719ee25dd3377a53ea12e518308e/test/test_mps.py#L11418", "TestAdvancedIndexing")</f>
        <v>TestAdvancedIndexing</v>
      </c>
      <c r="B1169" s="86" t="s">
        <v>1185</v>
      </c>
      <c r="C1169" s="86"/>
      <c r="D1169" s="86" t="s">
        <v>912</v>
      </c>
      <c r="E1169" s="87"/>
      <c r="F1169" s="88" t="b">
        <v>0</v>
      </c>
      <c r="G1169" s="88" t="b">
        <f>IF(G1146=TRUE,TRUE,FALSE)</f>
        <v>0</v>
      </c>
      <c r="H1169" s="34" t="str">
        <f>IF(G1169=TRUE,H1146,"")</f>
        <v/>
      </c>
      <c r="I1169" s="34"/>
      <c r="J1169" s="14"/>
    </row>
    <row r="1170" hidden="1">
      <c r="A1170" s="90" t="str">
        <f>HYPERLINK("https://github.com/pytorch/pytorch/blob/f99ab991dcd3719ee25dd3377a53ea12e518308e/test/test_mps.py#L12286", "TestRNNMPS")</f>
        <v>TestRNNMPS</v>
      </c>
      <c r="B1170" s="91" t="s">
        <v>1185</v>
      </c>
      <c r="C1170" s="91"/>
      <c r="D1170" s="91" t="s">
        <v>912</v>
      </c>
      <c r="E1170" s="92"/>
      <c r="F1170" s="93" t="b">
        <v>0</v>
      </c>
      <c r="G1170" s="93" t="b">
        <f>IF(G1146=TRUE,TRUE,FALSE)</f>
        <v>0</v>
      </c>
      <c r="H1170" s="34" t="str">
        <f>IF(G1170=TRUE,H1146,"")</f>
        <v/>
      </c>
      <c r="I1170" s="34"/>
      <c r="J1170" s="14"/>
    </row>
    <row r="1171" hidden="1">
      <c r="A1171" s="85" t="str">
        <f>HYPERLINK("https://github.com/pytorch/pytorch/blob/f99ab991dcd3719ee25dd3377a53ea12e518308e/test/test_mps.py#L12444", "TestFallbackWarning")</f>
        <v>TestFallbackWarning</v>
      </c>
      <c r="B1171" s="86" t="s">
        <v>1185</v>
      </c>
      <c r="C1171" s="86"/>
      <c r="D1171" s="86" t="s">
        <v>912</v>
      </c>
      <c r="E1171" s="87"/>
      <c r="F1171" s="88" t="b">
        <v>0</v>
      </c>
      <c r="G1171" s="88" t="b">
        <f>IF(G1146=TRUE,TRUE,FALSE)</f>
        <v>0</v>
      </c>
      <c r="H1171" s="34" t="str">
        <f>IF(G1171=TRUE,H1146,"")</f>
        <v/>
      </c>
      <c r="I1171" s="34"/>
      <c r="J1171" s="14"/>
    </row>
    <row r="1172" hidden="1">
      <c r="A1172" s="90" t="str">
        <f>HYPERLINK("https://github.com/pytorch/pytorch/blob/f99ab991dcd3719ee25dd3377a53ea12e518308e/test/test_mps.py#L12509", "TestNoRegression")</f>
        <v>TestNoRegression</v>
      </c>
      <c r="B1172" s="91" t="s">
        <v>1185</v>
      </c>
      <c r="C1172" s="91"/>
      <c r="D1172" s="91" t="s">
        <v>912</v>
      </c>
      <c r="E1172" s="92"/>
      <c r="F1172" s="93" t="b">
        <v>0</v>
      </c>
      <c r="G1172" s="93" t="b">
        <f>IF(G1146=TRUE,TRUE,FALSE)</f>
        <v>0</v>
      </c>
      <c r="H1172" s="34" t="str">
        <f>IF(G1172=TRUE,H1146,"")</f>
        <v/>
      </c>
      <c r="I1172" s="34"/>
      <c r="J1172" s="14"/>
    </row>
    <row r="1173" hidden="1">
      <c r="A1173" s="85" t="str">
        <f>HYPERLINK("https://github.com/pytorch/pytorch/blob/f99ab991dcd3719ee25dd3377a53ea12e518308e/test/test_mps.py#L12609", "TestConsistency")</f>
        <v>TestConsistency</v>
      </c>
      <c r="B1173" s="86" t="s">
        <v>1185</v>
      </c>
      <c r="C1173" s="86"/>
      <c r="D1173" s="86" t="s">
        <v>912</v>
      </c>
      <c r="E1173" s="87"/>
      <c r="F1173" s="88" t="b">
        <v>0</v>
      </c>
      <c r="G1173" s="88" t="b">
        <f>IF(G1146=TRUE,TRUE,FALSE)</f>
        <v>0</v>
      </c>
      <c r="H1173" s="34" t="str">
        <f>IF(G1173=TRUE,H1146,"")</f>
        <v/>
      </c>
      <c r="I1173" s="34"/>
      <c r="J1173" s="14"/>
    </row>
    <row r="1174" hidden="1">
      <c r="A1174" s="90" t="str">
        <f>HYPERLINK("https://github.com/pytorch/pytorch/blob/f99ab991dcd3719ee25dd3377a53ea12e518308e/test/test_mps.py#L12953", "TestErrorInputs")</f>
        <v>TestErrorInputs</v>
      </c>
      <c r="B1174" s="91" t="s">
        <v>1185</v>
      </c>
      <c r="C1174" s="91"/>
      <c r="D1174" s="91" t="s">
        <v>912</v>
      </c>
      <c r="E1174" s="92"/>
      <c r="F1174" s="93" t="b">
        <v>0</v>
      </c>
      <c r="G1174" s="93" t="b">
        <f>IF(G1146=TRUE,TRUE,FALSE)</f>
        <v>0</v>
      </c>
      <c r="H1174" s="34" t="str">
        <f>IF(G1174=TRUE,H1146,"")</f>
        <v/>
      </c>
      <c r="I1174" s="34"/>
      <c r="J1174" s="14"/>
    </row>
    <row r="1175" hidden="1">
      <c r="A1175" s="85" t="str">
        <f>HYPERLINK("https://github.com/pytorch/pytorch/blob/f99ab991dcd3719ee25dd3377a53ea12e518308e/test/test_mps.py#L12984", "TestComplex")</f>
        <v>TestComplex</v>
      </c>
      <c r="B1175" s="86" t="s">
        <v>1185</v>
      </c>
      <c r="C1175" s="86"/>
      <c r="D1175" s="86" t="s">
        <v>912</v>
      </c>
      <c r="E1175" s="87"/>
      <c r="F1175" s="88" t="b">
        <v>0</v>
      </c>
      <c r="G1175" s="88" t="b">
        <f>IF(G1146=TRUE,TRUE,FALSE)</f>
        <v>0</v>
      </c>
      <c r="H1175" s="34" t="str">
        <f>IF(G1175=TRUE,H1146,"")</f>
        <v/>
      </c>
      <c r="I1175" s="34"/>
      <c r="J1175" s="14"/>
    </row>
    <row r="1176" hidden="1">
      <c r="A1176" s="90" t="str">
        <f>HYPERLINK("https://github.com/pytorch/pytorch/blob/f99ab991dcd3719ee25dd3377a53ea12e518308e/test/test_mps.py#L13008", "TestCommon")</f>
        <v>TestCommon</v>
      </c>
      <c r="B1176" s="91" t="s">
        <v>1185</v>
      </c>
      <c r="C1176" s="91"/>
      <c r="D1176" s="91" t="s">
        <v>912</v>
      </c>
      <c r="E1176" s="92"/>
      <c r="F1176" s="93" t="b">
        <v>0</v>
      </c>
      <c r="G1176" s="93" t="b">
        <f>IF(G1146=TRUE,TRUE,FALSE)</f>
        <v>0</v>
      </c>
      <c r="H1176" s="34" t="str">
        <f>IF(G1176=TRUE,H1146,"")</f>
        <v/>
      </c>
      <c r="I1176" s="34"/>
      <c r="J1176" s="14"/>
    </row>
    <row r="1177" hidden="1">
      <c r="A1177" s="85" t="str">
        <f>HYPERLINK("https://github.com/pytorch/pytorch/blob/f99ab991dcd3719ee25dd3377a53ea12e518308e/test/test_mps.py#L13058", "TestMetalLibrary")</f>
        <v>TestMetalLibrary</v>
      </c>
      <c r="B1177" s="86" t="s">
        <v>1185</v>
      </c>
      <c r="C1177" s="86"/>
      <c r="D1177" s="86" t="s">
        <v>912</v>
      </c>
      <c r="E1177" s="87"/>
      <c r="F1177" s="88" t="b">
        <v>0</v>
      </c>
      <c r="G1177" s="88" t="b">
        <f>IF(G1146=TRUE,TRUE,FALSE)</f>
        <v>0</v>
      </c>
      <c r="H1177" s="34" t="str">
        <f>IF(G1177=TRUE,H1146,"")</f>
        <v/>
      </c>
      <c r="I1177" s="34"/>
      <c r="J1177" s="14"/>
    </row>
    <row r="1178" hidden="1">
      <c r="A1178" s="9" t="s">
        <v>1186</v>
      </c>
      <c r="B1178" s="10"/>
      <c r="C1178" s="10"/>
      <c r="D1178" s="10"/>
      <c r="E1178" s="11"/>
      <c r="F1178" s="12"/>
      <c r="G1178" s="12"/>
      <c r="H1178" s="12"/>
      <c r="I1178" s="12"/>
      <c r="J1178" s="14"/>
    </row>
    <row r="1179" hidden="1">
      <c r="A1179" s="15" t="s">
        <v>1187</v>
      </c>
      <c r="B1179" s="16"/>
      <c r="C1179" s="16"/>
      <c r="D1179" s="16"/>
      <c r="E1179" s="17"/>
      <c r="F1179" s="18" t="b">
        <v>1</v>
      </c>
      <c r="G1179" s="18" t="b">
        <v>0</v>
      </c>
      <c r="H1179" s="20"/>
      <c r="I1179" s="20"/>
      <c r="J1179" s="14"/>
    </row>
    <row r="1180" hidden="1">
      <c r="A1180" s="90" t="str">
        <f>HYPERLINK("https://github.com/pytorch/pytorch/blob/f99ab991dcd3719ee25dd3377a53ea12e518308e/test/test_xpu.py#L93", "TestXpu")</f>
        <v>TestXpu</v>
      </c>
      <c r="B1180" s="91" t="s">
        <v>1188</v>
      </c>
      <c r="C1180" s="91"/>
      <c r="D1180" s="91" t="s">
        <v>912</v>
      </c>
      <c r="E1180" s="92"/>
      <c r="F1180" s="93" t="b">
        <v>0</v>
      </c>
      <c r="G1180" s="93" t="b">
        <f>IF(G1179=TRUE,TRUE,FALSE)</f>
        <v>0</v>
      </c>
      <c r="H1180" s="34" t="str">
        <f>IF(G1180=TRUE,H1179,"")</f>
        <v/>
      </c>
      <c r="I1180" s="34"/>
      <c r="J1180" s="14"/>
    </row>
    <row r="1181" hidden="1">
      <c r="A1181" s="85" t="str">
        <f>HYPERLINK("https://github.com/pytorch/pytorch/blob/f99ab991dcd3719ee25dd3377a53ea12e518308e/test/test_xpu.py#L2681", "TestXpuOps")</f>
        <v>TestXpuOps</v>
      </c>
      <c r="B1181" s="86" t="s">
        <v>1188</v>
      </c>
      <c r="C1181" s="86"/>
      <c r="D1181" s="86" t="s">
        <v>912</v>
      </c>
      <c r="E1181" s="87"/>
      <c r="F1181" s="88" t="b">
        <v>0</v>
      </c>
      <c r="G1181" s="88" t="b">
        <f>IF(G1179=TRUE,TRUE,FALSE)</f>
        <v>0</v>
      </c>
      <c r="H1181" s="34" t="str">
        <f>IF(G1181=TRUE,H1179,"")</f>
        <v/>
      </c>
      <c r="I1181" s="34"/>
      <c r="J1181" s="14"/>
    </row>
    <row r="1182" hidden="1">
      <c r="A1182" s="90" t="str">
        <f>HYPERLINK("https://github.com/pytorch/pytorch/blob/f99ab991dcd3719ee25dd3377a53ea12e518308e/test/test_xpu.py#L2735", "TestXpuAutocast")</f>
        <v>TestXpuAutocast</v>
      </c>
      <c r="B1182" s="91" t="s">
        <v>1188</v>
      </c>
      <c r="C1182" s="91"/>
      <c r="D1182" s="91" t="s">
        <v>912</v>
      </c>
      <c r="E1182" s="92"/>
      <c r="F1182" s="93" t="b">
        <v>0</v>
      </c>
      <c r="G1182" s="93" t="b">
        <f>IF(G1179=TRUE,TRUE,FALSE)</f>
        <v>0</v>
      </c>
      <c r="H1182" s="34" t="str">
        <f>IF(G1182=TRUE,H1179,"")</f>
        <v/>
      </c>
      <c r="I1182" s="34"/>
      <c r="J1182" s="14"/>
    </row>
    <row r="1183" hidden="1">
      <c r="A1183" s="85" t="str">
        <f>HYPERLINK("https://github.com/pytorch/pytorch/blob/f99ab991dcd3719ee25dd3377a53ea12e518308e/test/test_xpu.py#L2816", "TestXpuTrace")</f>
        <v>TestXpuTrace</v>
      </c>
      <c r="B1183" s="86" t="s">
        <v>1188</v>
      </c>
      <c r="C1183" s="86"/>
      <c r="D1183" s="86" t="s">
        <v>912</v>
      </c>
      <c r="E1183" s="87"/>
      <c r="F1183" s="88" t="b">
        <v>0</v>
      </c>
      <c r="G1183" s="88" t="b">
        <f>IF(G1179=TRUE,TRUE,FALSE)</f>
        <v>0</v>
      </c>
      <c r="H1183" s="34" t="str">
        <f>IF(G1183=TRUE,H1179,"")</f>
        <v/>
      </c>
      <c r="I1183" s="34"/>
      <c r="J1183" s="14"/>
    </row>
    <row r="1184" hidden="1">
      <c r="A1184" s="90" t="str">
        <f>HYPERLINK("https://github.com/pytorch/pytorch/blob/f99ab991dcd3719ee25dd3377a53ea12e518308e/test/test_xpu.py#L2878", "TestXPUAPISanity")</f>
        <v>TestXPUAPISanity</v>
      </c>
      <c r="B1184" s="91" t="s">
        <v>1188</v>
      </c>
      <c r="C1184" s="91"/>
      <c r="D1184" s="91" t="s">
        <v>912</v>
      </c>
      <c r="E1184" s="92"/>
      <c r="F1184" s="93" t="b">
        <v>0</v>
      </c>
      <c r="G1184" s="93" t="b">
        <f>IF(G1179=TRUE,TRUE,FALSE)</f>
        <v>0</v>
      </c>
      <c r="H1184" s="34" t="str">
        <f>IF(G1184=TRUE,H1179,"")</f>
        <v/>
      </c>
      <c r="I1184" s="34"/>
      <c r="J1184" s="14"/>
    </row>
    <row r="1185" hidden="1">
      <c r="A1185" s="85" t="str">
        <f>HYPERLINK("https://github.com/pytorch/pytorch/blob/f99ab991dcd3719ee25dd3377a53ea12e518308e/test/test_xpu.py#L2913", "TestMemPool")</f>
        <v>TestMemPool</v>
      </c>
      <c r="B1185" s="86" t="s">
        <v>1188</v>
      </c>
      <c r="C1185" s="86"/>
      <c r="D1185" s="86" t="s">
        <v>912</v>
      </c>
      <c r="E1185" s="87"/>
      <c r="F1185" s="88" t="b">
        <v>0</v>
      </c>
      <c r="G1185" s="88" t="b">
        <f>IF(G1179=TRUE,TRUE,FALSE)</f>
        <v>0</v>
      </c>
      <c r="H1185" s="34" t="str">
        <f>IF(G1185=TRUE,H1179,"")</f>
        <v/>
      </c>
      <c r="I1185" s="34"/>
      <c r="J1185" s="14"/>
    </row>
    <row r="1186" hidden="1">
      <c r="A1186" s="90" t="str">
        <f>HYPERLINK("https://github.com/pytorch/pytorch/blob/f99ab991dcd3719ee25dd3377a53ea12e518308e/test/xpu/test_conv.py#L40", "TestConvolutionNNDeviceType")</f>
        <v>TestConvolutionNNDeviceType</v>
      </c>
      <c r="B1186" s="91" t="s">
        <v>1189</v>
      </c>
      <c r="C1186" s="91"/>
      <c r="D1186" s="91" t="s">
        <v>912</v>
      </c>
      <c r="E1186" s="92"/>
      <c r="F1186" s="93" t="b">
        <v>0</v>
      </c>
      <c r="G1186" s="93" t="b">
        <f>IF(G1179=TRUE,TRUE,FALSE)</f>
        <v>0</v>
      </c>
      <c r="H1186" s="34" t="str">
        <f>IF(G1186=TRUE,H1179,"")</f>
        <v/>
      </c>
      <c r="I1186" s="34"/>
      <c r="J1186" s="14"/>
    </row>
    <row r="1187" hidden="1">
      <c r="A1187" s="85" t="str">
        <f>HYPERLINK("https://github.com/pytorch/pytorch/blob/f99ab991dcd3719ee25dd3377a53ea12e518308e/test/xpu/test_fusion.py#L22", "TestoneDNNFusion")</f>
        <v>TestoneDNNFusion</v>
      </c>
      <c r="B1187" s="86" t="s">
        <v>1190</v>
      </c>
      <c r="C1187" s="86"/>
      <c r="D1187" s="86" t="s">
        <v>912</v>
      </c>
      <c r="E1187" s="87"/>
      <c r="F1187" s="88" t="b">
        <v>0</v>
      </c>
      <c r="G1187" s="88" t="b">
        <f>IF(G1179=TRUE,TRUE,FALSE)</f>
        <v>0</v>
      </c>
      <c r="H1187" s="34" t="str">
        <f>IF(G1187=TRUE,H1179,"")</f>
        <v/>
      </c>
      <c r="I1187" s="34"/>
      <c r="J1187" s="14"/>
    </row>
    <row r="1188" hidden="1">
      <c r="A1188" s="90" t="str">
        <f>HYPERLINK("https://github.com/pytorch/pytorch/blob/f99ab991dcd3719ee25dd3377a53ea12e518308e/test/xpu/test_gemm.py#L132", "TestBasicGEMM")</f>
        <v>TestBasicGEMM</v>
      </c>
      <c r="B1188" s="91" t="s">
        <v>1191</v>
      </c>
      <c r="C1188" s="91"/>
      <c r="D1188" s="91" t="s">
        <v>912</v>
      </c>
      <c r="E1188" s="92"/>
      <c r="F1188" s="93" t="b">
        <v>0</v>
      </c>
      <c r="G1188" s="93" t="b">
        <f>IF(G1179=TRUE,TRUE,FALSE)</f>
        <v>0</v>
      </c>
      <c r="H1188" s="34" t="str">
        <f>IF(G1188=TRUE,H1179,"")</f>
        <v/>
      </c>
      <c r="I1188" s="34"/>
      <c r="J1188" s="14"/>
    </row>
    <row r="1189" hidden="1">
      <c r="A1189" s="15" t="s">
        <v>1192</v>
      </c>
      <c r="B1189" s="16"/>
      <c r="C1189" s="16"/>
      <c r="D1189" s="16"/>
      <c r="E1189" s="17"/>
      <c r="F1189" s="18" t="b">
        <v>1</v>
      </c>
      <c r="G1189" s="18" t="b">
        <v>0</v>
      </c>
      <c r="H1189" s="20"/>
      <c r="I1189" s="20"/>
      <c r="J1189" s="14"/>
    </row>
    <row r="1190" hidden="1">
      <c r="A1190" s="85" t="str">
        <f>HYPERLINK("https://github.com/pytorch/pytorch/blob/f99ab991dcd3719ee25dd3377a53ea12e518308e/test/test_mkl_verbose.py#L8", "TestMKLVerbose")</f>
        <v>TestMKLVerbose</v>
      </c>
      <c r="B1190" s="86" t="s">
        <v>1193</v>
      </c>
      <c r="C1190" s="86"/>
      <c r="D1190" s="86" t="s">
        <v>912</v>
      </c>
      <c r="E1190" s="87"/>
      <c r="F1190" s="88" t="b">
        <v>0</v>
      </c>
      <c r="G1190" s="88" t="b">
        <f>IF(G1189=TRUE,TRUE,FALSE)</f>
        <v>0</v>
      </c>
      <c r="H1190" s="34" t="str">
        <f>IF(G1190=TRUE,H1189,"")</f>
        <v/>
      </c>
      <c r="I1190" s="34"/>
      <c r="J1190" s="14"/>
    </row>
    <row r="1191" hidden="1">
      <c r="A1191" s="90" t="str">
        <f>HYPERLINK("https://github.com/pytorch/pytorch/blob/f99ab991dcd3719ee25dd3377a53ea12e518308e/test/test_mkldnn.py#L41", "TestMkldnn")</f>
        <v>TestMkldnn</v>
      </c>
      <c r="B1191" s="91" t="s">
        <v>1194</v>
      </c>
      <c r="C1191" s="91"/>
      <c r="D1191" s="91" t="s">
        <v>912</v>
      </c>
      <c r="E1191" s="92"/>
      <c r="F1191" s="93" t="b">
        <v>0</v>
      </c>
      <c r="G1191" s="93" t="b">
        <f>IF(G1189=TRUE,TRUE,FALSE)</f>
        <v>0</v>
      </c>
      <c r="H1191" s="34" t="str">
        <f>IF(G1191=TRUE,H1189,"")</f>
        <v/>
      </c>
      <c r="I1191" s="34"/>
      <c r="J1191" s="14"/>
    </row>
    <row r="1192" hidden="1">
      <c r="A1192" s="85" t="str">
        <f>HYPERLINK("https://github.com/pytorch/pytorch/blob/f99ab991dcd3719ee25dd3377a53ea12e518308e/test/test_mkldnn_fusion.py#L27", "TestMkldnnFusion")</f>
        <v>TestMkldnnFusion</v>
      </c>
      <c r="B1192" s="86" t="s">
        <v>1195</v>
      </c>
      <c r="C1192" s="86"/>
      <c r="D1192" s="86" t="s">
        <v>912</v>
      </c>
      <c r="E1192" s="87"/>
      <c r="F1192" s="88" t="b">
        <v>0</v>
      </c>
      <c r="G1192" s="88" t="b">
        <f>IF(G1189=TRUE,TRUE,FALSE)</f>
        <v>0</v>
      </c>
      <c r="H1192" s="34" t="str">
        <f>IF(G1192=TRUE,H1189,"")</f>
        <v/>
      </c>
      <c r="I1192" s="34"/>
      <c r="J1192" s="14"/>
    </row>
    <row r="1193" hidden="1">
      <c r="A1193" s="90" t="str">
        <f>HYPERLINK("https://github.com/pytorch/pytorch/blob/f99ab991dcd3719ee25dd3377a53ea12e518308e/test/test_mkldnn_verbose.py#L8", "TestMKLDNNVerbose")</f>
        <v>TestMKLDNNVerbose</v>
      </c>
      <c r="B1193" s="91" t="s">
        <v>1196</v>
      </c>
      <c r="C1193" s="91"/>
      <c r="D1193" s="91" t="s">
        <v>912</v>
      </c>
      <c r="E1193" s="92"/>
      <c r="F1193" s="93" t="b">
        <v>0</v>
      </c>
      <c r="G1193" s="93" t="b">
        <f>IF(G1189=TRUE,TRUE,FALSE)</f>
        <v>0</v>
      </c>
      <c r="H1193" s="34" t="str">
        <f>IF(G1193=TRUE,H1189,"")</f>
        <v/>
      </c>
      <c r="I1193" s="34"/>
      <c r="J1193" s="14"/>
    </row>
    <row r="1194" hidden="1">
      <c r="A1194" s="15" t="s">
        <v>1197</v>
      </c>
      <c r="B1194" s="16"/>
      <c r="C1194" s="16"/>
      <c r="D1194" s="16"/>
      <c r="E1194" s="17"/>
      <c r="F1194" s="18" t="b">
        <v>1</v>
      </c>
      <c r="G1194" s="18" t="b">
        <v>0</v>
      </c>
      <c r="H1194" s="20"/>
      <c r="I1194" s="20"/>
      <c r="J1194" s="14"/>
    </row>
    <row r="1195" hidden="1">
      <c r="A1195" s="85" t="str">
        <f>HYPERLINK("https://github.com/pytorch/pytorch/blob/f99ab991dcd3719ee25dd3377a53ea12e518308e/test/test_itt.py#L12", "TestItt")</f>
        <v>TestItt</v>
      </c>
      <c r="B1195" s="86" t="s">
        <v>1198</v>
      </c>
      <c r="C1195" s="86"/>
      <c r="D1195" s="86" t="s">
        <v>912</v>
      </c>
      <c r="E1195" s="87"/>
      <c r="F1195" s="88" t="b">
        <v>0</v>
      </c>
      <c r="G1195" s="88" t="b">
        <f>IF(G1194=TRUE,TRUE,FALSE)</f>
        <v>0</v>
      </c>
      <c r="H1195" s="34" t="str">
        <f>IF(G1195=TRUE,H1194,"")</f>
        <v/>
      </c>
      <c r="I1195" s="34"/>
      <c r="J1195" s="14"/>
    </row>
  </sheetData>
  <autoFilter ref="$A$1:$Z$1195">
    <filterColumn colId="6">
      <filters>
        <filter val="TRUE"/>
      </filters>
    </filterColumn>
  </autoFilter>
  <conditionalFormatting sqref="A611:Z611">
    <cfRule type="notContainsBlanks" dxfId="0" priority="1">
      <formula>LEN(TRIM(A611))&gt;0</formula>
    </cfRule>
  </conditionalFormatting>
  <conditionalFormatting sqref="L962">
    <cfRule type="notContainsBlanks" dxfId="0" priority="2">
      <formula>LEN(TRIM(L962))&gt;0</formula>
    </cfRule>
  </conditionalFormatting>
  <conditionalFormatting sqref="D418">
    <cfRule type="notContainsBlanks" dxfId="0" priority="3">
      <formula>LEN(TRIM(D418))&gt;0</formula>
    </cfRule>
  </conditionalFormatting>
  <conditionalFormatting sqref="D418">
    <cfRule type="notContainsBlanks" dxfId="0" priority="4">
      <formula>LEN(TRIM(D418))&gt;0</formula>
    </cfRule>
  </conditionalFormatting>
  <dataValidations>
    <dataValidation type="list" allowBlank="1" sqref="H2:H1195">
      <formula1>"Low,Medium,High"</formula1>
    </dataValidation>
    <dataValidation type="list" allowBlank="1" sqref="F2:G1195">
      <formula1>"TRUE,FALSE,UNSURE,UNSURE (PT2)"</formula1>
    </dataValidation>
  </dataValidations>
  <hyperlinks>
    <hyperlink r:id="rId1" ref="J4"/>
    <hyperlink r:id="rId2" ref="J5"/>
    <hyperlink r:id="rId3" ref="J8"/>
    <hyperlink r:id="rId4" ref="J10"/>
    <hyperlink r:id="rId5" ref="J12"/>
    <hyperlink r:id="rId6" ref="J14"/>
    <hyperlink r:id="rId7" ref="J16"/>
    <hyperlink r:id="rId8" ref="J19"/>
    <hyperlink r:id="rId9" ref="J25"/>
    <hyperlink r:id="rId10" ref="J27"/>
    <hyperlink r:id="rId11" ref="J39"/>
    <hyperlink r:id="rId12" ref="J42"/>
    <hyperlink r:id="rId13" ref="J60"/>
    <hyperlink r:id="rId14" ref="J63"/>
    <hyperlink r:id="rId15" ref="J66"/>
    <hyperlink r:id="rId16" ref="J67"/>
    <hyperlink r:id="rId17" ref="J69"/>
    <hyperlink r:id="rId18" ref="J70"/>
    <hyperlink r:id="rId19" ref="J75"/>
    <hyperlink r:id="rId20" ref="J92"/>
    <hyperlink r:id="rId21" ref="J93"/>
    <hyperlink r:id="rId22" ref="J98"/>
    <hyperlink r:id="rId23" ref="J101"/>
    <hyperlink r:id="rId24" ref="J104"/>
    <hyperlink r:id="rId25" ref="J105"/>
    <hyperlink r:id="rId26" ref="J109"/>
    <hyperlink r:id="rId27" ref="J121"/>
    <hyperlink r:id="rId28" ref="J122"/>
    <hyperlink r:id="rId29" ref="J149"/>
    <hyperlink r:id="rId30" ref="J153"/>
    <hyperlink r:id="rId31" ref="J156"/>
    <hyperlink r:id="rId32" ref="J157"/>
    <hyperlink r:id="rId33" ref="J164"/>
    <hyperlink r:id="rId34" ref="J170"/>
    <hyperlink r:id="rId35" ref="J171"/>
    <hyperlink r:id="rId36" ref="J175"/>
    <hyperlink r:id="rId37" ref="J176"/>
    <hyperlink r:id="rId38" ref="J202"/>
    <hyperlink r:id="rId39" ref="J213"/>
    <hyperlink r:id="rId40" ref="J215"/>
    <hyperlink r:id="rId41" ref="J216"/>
    <hyperlink r:id="rId42" ref="J218"/>
    <hyperlink r:id="rId43" ref="J219"/>
    <hyperlink r:id="rId44" ref="J242"/>
    <hyperlink r:id="rId45" ref="J243"/>
    <hyperlink r:id="rId46" ref="J244"/>
    <hyperlink r:id="rId47" ref="J245"/>
    <hyperlink r:id="rId48" ref="J246"/>
    <hyperlink r:id="rId49" ref="J299"/>
    <hyperlink r:id="rId50" ref="J301"/>
    <hyperlink r:id="rId51" ref="J318"/>
    <hyperlink r:id="rId52" ref="J324"/>
    <hyperlink r:id="rId53" ref="J329"/>
    <hyperlink r:id="rId54" ref="J332"/>
    <hyperlink r:id="rId55" ref="J358"/>
    <hyperlink r:id="rId56" ref="J376"/>
    <hyperlink r:id="rId57" ref="J393"/>
    <hyperlink r:id="rId58" ref="B396"/>
  </hyperlinks>
  <printOptions gridLines="1" horizontalCentered="1"/>
  <pageMargins bottom="0.75" footer="0.0" header="0.0" left="0.25" right="0.25" top="0.75"/>
  <pageSetup scale="50" cellComments="atEnd" orientation="landscape" pageOrder="overThenDown"/>
  <drawing r:id="rId5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69.38"/>
    <col customWidth="1" min="2" max="2" width="24.38"/>
    <col customWidth="1" min="3" max="3" width="31.25"/>
    <col customWidth="1" min="5" max="5" width="26.5"/>
    <col customWidth="1" min="6" max="6" width="38.25"/>
    <col customWidth="1" min="7" max="7" width="259.38"/>
  </cols>
  <sheetData>
    <row r="1">
      <c r="A1" s="95" t="s">
        <v>1199</v>
      </c>
      <c r="B1" s="95" t="s">
        <v>1200</v>
      </c>
      <c r="C1" s="95" t="s">
        <v>1201</v>
      </c>
      <c r="D1" s="95" t="s">
        <v>1202</v>
      </c>
      <c r="E1" s="95" t="s">
        <v>9</v>
      </c>
      <c r="F1" s="96" t="s">
        <v>1203</v>
      </c>
      <c r="G1" s="95" t="s">
        <v>1204</v>
      </c>
      <c r="H1" s="97"/>
      <c r="I1" s="97"/>
      <c r="J1" s="97"/>
      <c r="K1" s="97"/>
      <c r="L1" s="97"/>
      <c r="M1" s="97"/>
      <c r="N1" s="97"/>
      <c r="O1" s="97"/>
      <c r="P1" s="97"/>
      <c r="Q1" s="97"/>
      <c r="R1" s="97"/>
      <c r="S1" s="97"/>
      <c r="T1" s="97"/>
      <c r="U1" s="97"/>
      <c r="V1" s="97"/>
      <c r="W1" s="97"/>
      <c r="X1" s="97"/>
      <c r="Y1" s="97"/>
      <c r="Z1" s="97"/>
      <c r="AA1" s="97"/>
    </row>
    <row r="2">
      <c r="A2" s="95" t="s">
        <v>1205</v>
      </c>
      <c r="B2" s="14"/>
      <c r="C2" s="14"/>
      <c r="D2" s="14"/>
      <c r="E2" s="14"/>
      <c r="F2" s="14"/>
      <c r="G2" s="14"/>
      <c r="H2" s="97"/>
      <c r="I2" s="97"/>
      <c r="J2" s="97"/>
      <c r="K2" s="97"/>
      <c r="L2" s="97"/>
      <c r="M2" s="97"/>
      <c r="N2" s="97"/>
      <c r="O2" s="97"/>
      <c r="P2" s="97"/>
      <c r="Q2" s="97"/>
      <c r="R2" s="97"/>
      <c r="S2" s="97"/>
      <c r="T2" s="97"/>
      <c r="U2" s="97"/>
      <c r="V2" s="97"/>
      <c r="W2" s="97"/>
      <c r="X2" s="97"/>
      <c r="Y2" s="97"/>
      <c r="Z2" s="97"/>
      <c r="AA2" s="97"/>
    </row>
    <row r="3">
      <c r="A3" s="98" t="s">
        <v>1206</v>
      </c>
      <c r="B3" s="67" t="s">
        <v>1207</v>
      </c>
      <c r="C3" s="67" t="s">
        <v>1208</v>
      </c>
      <c r="D3" s="67" t="s">
        <v>1209</v>
      </c>
      <c r="E3" s="99" t="s">
        <v>1210</v>
      </c>
      <c r="F3" s="58" t="s">
        <v>1211</v>
      </c>
      <c r="G3" s="67" t="s">
        <v>1212</v>
      </c>
      <c r="H3" s="97"/>
      <c r="I3" s="97"/>
      <c r="J3" s="97"/>
      <c r="K3" s="97"/>
      <c r="L3" s="97"/>
      <c r="M3" s="97"/>
      <c r="N3" s="97"/>
      <c r="O3" s="97"/>
      <c r="P3" s="97"/>
      <c r="Q3" s="97"/>
      <c r="R3" s="97"/>
      <c r="S3" s="97"/>
      <c r="T3" s="97"/>
      <c r="U3" s="97"/>
      <c r="V3" s="97"/>
      <c r="W3" s="97"/>
      <c r="X3" s="97"/>
      <c r="Y3" s="97"/>
      <c r="Z3" s="97"/>
      <c r="AA3" s="97"/>
    </row>
    <row r="4">
      <c r="A4" s="45" t="s">
        <v>1213</v>
      </c>
      <c r="B4" s="14" t="s">
        <v>1214</v>
      </c>
      <c r="C4" s="14" t="s">
        <v>1215</v>
      </c>
      <c r="D4" s="14" t="s">
        <v>1209</v>
      </c>
      <c r="E4" s="99" t="s">
        <v>1210</v>
      </c>
      <c r="F4" s="27" t="s">
        <v>1216</v>
      </c>
      <c r="G4" s="14" t="s">
        <v>1217</v>
      </c>
      <c r="H4" s="97"/>
      <c r="I4" s="97"/>
      <c r="J4" s="97"/>
      <c r="K4" s="97"/>
      <c r="L4" s="97"/>
      <c r="M4" s="97"/>
      <c r="N4" s="97"/>
      <c r="O4" s="97"/>
      <c r="P4" s="97"/>
      <c r="Q4" s="97"/>
      <c r="R4" s="97"/>
      <c r="S4" s="97"/>
      <c r="T4" s="97"/>
      <c r="U4" s="97"/>
      <c r="V4" s="97"/>
      <c r="W4" s="97"/>
      <c r="X4" s="97"/>
      <c r="Y4" s="97"/>
      <c r="Z4" s="97"/>
      <c r="AA4" s="97"/>
    </row>
    <row r="5">
      <c r="A5" s="100" t="s">
        <v>1218</v>
      </c>
      <c r="B5" s="67" t="s">
        <v>1219</v>
      </c>
      <c r="C5" s="67" t="s">
        <v>1220</v>
      </c>
      <c r="D5" s="67" t="s">
        <v>1209</v>
      </c>
      <c r="E5" s="99" t="s">
        <v>1210</v>
      </c>
      <c r="F5" s="98" t="s">
        <v>1221</v>
      </c>
      <c r="G5" s="67" t="s">
        <v>1222</v>
      </c>
      <c r="H5" s="97"/>
      <c r="I5" s="97"/>
      <c r="J5" s="97"/>
      <c r="K5" s="97"/>
      <c r="L5" s="97"/>
      <c r="M5" s="97"/>
      <c r="N5" s="97"/>
      <c r="O5" s="97"/>
      <c r="P5" s="97"/>
      <c r="Q5" s="97"/>
      <c r="R5" s="97"/>
      <c r="S5" s="97"/>
      <c r="T5" s="97"/>
      <c r="U5" s="101"/>
      <c r="V5" s="97"/>
      <c r="W5" s="97"/>
      <c r="X5" s="97"/>
      <c r="Y5" s="97"/>
      <c r="Z5" s="97"/>
      <c r="AA5" s="97"/>
    </row>
    <row r="6">
      <c r="A6" s="45" t="s">
        <v>1223</v>
      </c>
      <c r="B6" s="14" t="s">
        <v>1224</v>
      </c>
      <c r="C6" s="14" t="s">
        <v>1225</v>
      </c>
      <c r="D6" s="67" t="s">
        <v>1209</v>
      </c>
      <c r="E6" s="99" t="s">
        <v>1210</v>
      </c>
      <c r="F6" s="98" t="s">
        <v>1221</v>
      </c>
      <c r="G6" s="14" t="s">
        <v>1226</v>
      </c>
      <c r="H6" s="97"/>
      <c r="I6" s="97"/>
      <c r="J6" s="97"/>
      <c r="K6" s="97"/>
      <c r="L6" s="97"/>
      <c r="M6" s="97"/>
      <c r="N6" s="97"/>
      <c r="O6" s="97"/>
      <c r="P6" s="97"/>
      <c r="Q6" s="97"/>
      <c r="R6" s="97"/>
      <c r="S6" s="97"/>
      <c r="T6" s="97"/>
      <c r="U6" s="97"/>
      <c r="V6" s="97"/>
      <c r="W6" s="97"/>
      <c r="X6" s="97"/>
      <c r="Y6" s="97"/>
      <c r="Z6" s="97"/>
      <c r="AA6" s="97"/>
    </row>
    <row r="7">
      <c r="A7" s="45" t="s">
        <v>1227</v>
      </c>
      <c r="B7" s="14" t="s">
        <v>1228</v>
      </c>
      <c r="C7" s="14" t="s">
        <v>1229</v>
      </c>
      <c r="D7" s="67" t="s">
        <v>1209</v>
      </c>
      <c r="E7" s="64" t="s">
        <v>1210</v>
      </c>
      <c r="F7" s="27" t="s">
        <v>1230</v>
      </c>
      <c r="G7" s="14" t="s">
        <v>1231</v>
      </c>
      <c r="H7" s="97"/>
      <c r="I7" s="97"/>
      <c r="J7" s="97"/>
      <c r="K7" s="97"/>
      <c r="L7" s="97"/>
      <c r="M7" s="97"/>
      <c r="N7" s="97"/>
      <c r="O7" s="97"/>
      <c r="P7" s="97"/>
      <c r="Q7" s="97"/>
      <c r="R7" s="97"/>
      <c r="S7" s="97"/>
      <c r="T7" s="97"/>
      <c r="U7" s="97"/>
      <c r="V7" s="97"/>
      <c r="W7" s="97"/>
      <c r="X7" s="97"/>
      <c r="Y7" s="97"/>
      <c r="Z7" s="97"/>
      <c r="AA7" s="97"/>
    </row>
    <row r="8">
      <c r="A8" s="100" t="s">
        <v>1232</v>
      </c>
      <c r="B8" s="67" t="s">
        <v>1233</v>
      </c>
      <c r="C8" s="67" t="s">
        <v>1234</v>
      </c>
      <c r="D8" s="67" t="s">
        <v>1209</v>
      </c>
      <c r="E8" s="64" t="s">
        <v>1235</v>
      </c>
      <c r="F8" s="67"/>
      <c r="G8" s="67" t="s">
        <v>1236</v>
      </c>
      <c r="H8" s="97"/>
      <c r="I8" s="97"/>
      <c r="J8" s="97"/>
      <c r="K8" s="97"/>
      <c r="L8" s="97"/>
      <c r="M8" s="97"/>
      <c r="N8" s="97"/>
      <c r="O8" s="97"/>
      <c r="P8" s="97"/>
      <c r="Q8" s="97"/>
      <c r="R8" s="97"/>
      <c r="S8" s="97"/>
      <c r="T8" s="97"/>
      <c r="U8" s="97"/>
      <c r="V8" s="97"/>
      <c r="W8" s="97"/>
      <c r="X8" s="97"/>
      <c r="Y8" s="97"/>
      <c r="Z8" s="97"/>
      <c r="AA8" s="97"/>
    </row>
    <row r="9">
      <c r="A9" s="100" t="s">
        <v>1237</v>
      </c>
      <c r="B9" s="67" t="s">
        <v>1238</v>
      </c>
      <c r="C9" s="67" t="s">
        <v>1208</v>
      </c>
      <c r="D9" s="67" t="s">
        <v>1209</v>
      </c>
      <c r="E9" s="99" t="s">
        <v>1210</v>
      </c>
      <c r="F9" s="58" t="s">
        <v>1239</v>
      </c>
      <c r="G9" s="67" t="s">
        <v>1240</v>
      </c>
      <c r="H9" s="97"/>
      <c r="I9" s="97"/>
      <c r="J9" s="97"/>
      <c r="K9" s="97"/>
      <c r="L9" s="97"/>
      <c r="M9" s="97"/>
      <c r="N9" s="97"/>
      <c r="O9" s="97"/>
      <c r="P9" s="97"/>
      <c r="Q9" s="97"/>
      <c r="R9" s="97"/>
      <c r="S9" s="97"/>
      <c r="T9" s="97"/>
      <c r="U9" s="97"/>
      <c r="V9" s="97"/>
      <c r="W9" s="97"/>
      <c r="X9" s="97"/>
      <c r="Y9" s="97"/>
      <c r="Z9" s="97"/>
      <c r="AA9" s="97"/>
    </row>
    <row r="10">
      <c r="A10" s="45" t="s">
        <v>1241</v>
      </c>
      <c r="B10" s="14" t="s">
        <v>1242</v>
      </c>
      <c r="C10" s="14" t="s">
        <v>1243</v>
      </c>
      <c r="D10" s="67" t="s">
        <v>1209</v>
      </c>
      <c r="E10" s="99" t="s">
        <v>1210</v>
      </c>
      <c r="F10" s="58" t="s">
        <v>1239</v>
      </c>
      <c r="G10" s="14" t="s">
        <v>1244</v>
      </c>
      <c r="H10" s="97"/>
      <c r="I10" s="97"/>
      <c r="J10" s="97"/>
      <c r="K10" s="97"/>
      <c r="L10" s="97"/>
      <c r="M10" s="97"/>
      <c r="N10" s="97"/>
      <c r="O10" s="97"/>
      <c r="P10" s="97"/>
      <c r="Q10" s="97"/>
      <c r="R10" s="97"/>
      <c r="S10" s="97"/>
      <c r="T10" s="97"/>
      <c r="U10" s="97"/>
      <c r="V10" s="97"/>
      <c r="W10" s="97"/>
      <c r="X10" s="97"/>
      <c r="Y10" s="97"/>
      <c r="Z10" s="97"/>
      <c r="AA10" s="97"/>
    </row>
    <row r="11">
      <c r="A11" s="45" t="s">
        <v>1245</v>
      </c>
      <c r="B11" s="14" t="s">
        <v>1246</v>
      </c>
      <c r="C11" s="14" t="s">
        <v>1247</v>
      </c>
      <c r="D11" s="64" t="s">
        <v>1209</v>
      </c>
      <c r="E11" s="64" t="s">
        <v>1248</v>
      </c>
      <c r="F11" s="28" t="s">
        <v>1249</v>
      </c>
      <c r="G11" s="14" t="s">
        <v>1250</v>
      </c>
      <c r="H11" s="97"/>
      <c r="I11" s="97"/>
      <c r="J11" s="97"/>
      <c r="K11" s="97"/>
      <c r="L11" s="97"/>
      <c r="M11" s="97"/>
      <c r="N11" s="97"/>
      <c r="O11" s="97"/>
      <c r="P11" s="97"/>
      <c r="Q11" s="97"/>
      <c r="R11" s="97"/>
      <c r="S11" s="97"/>
      <c r="T11" s="97"/>
      <c r="U11" s="97"/>
      <c r="V11" s="97"/>
      <c r="W11" s="97"/>
      <c r="X11" s="97"/>
      <c r="Y11" s="97"/>
      <c r="Z11" s="97"/>
      <c r="AA11" s="97"/>
    </row>
    <row r="12">
      <c r="A12" s="45" t="s">
        <v>1251</v>
      </c>
      <c r="B12" s="14" t="s">
        <v>1252</v>
      </c>
      <c r="C12" s="14" t="s">
        <v>1215</v>
      </c>
      <c r="D12" s="99" t="s">
        <v>1253</v>
      </c>
      <c r="E12" s="99" t="s">
        <v>1210</v>
      </c>
      <c r="F12" s="64" t="s">
        <v>1254</v>
      </c>
      <c r="G12" s="14" t="s">
        <v>1255</v>
      </c>
      <c r="H12" s="97"/>
      <c r="I12" s="97"/>
      <c r="J12" s="97"/>
      <c r="K12" s="97"/>
      <c r="L12" s="97"/>
      <c r="M12" s="97"/>
      <c r="N12" s="97"/>
      <c r="O12" s="97"/>
      <c r="P12" s="97"/>
      <c r="Q12" s="97"/>
      <c r="R12" s="97"/>
      <c r="S12" s="97"/>
      <c r="T12" s="97"/>
      <c r="U12" s="97"/>
      <c r="V12" s="97"/>
      <c r="W12" s="97"/>
      <c r="X12" s="97"/>
      <c r="Y12" s="97"/>
      <c r="Z12" s="97"/>
      <c r="AA12" s="97"/>
    </row>
    <row r="13">
      <c r="A13" s="45" t="s">
        <v>1256</v>
      </c>
      <c r="B13" s="14" t="s">
        <v>1257</v>
      </c>
      <c r="C13" s="14" t="s">
        <v>1215</v>
      </c>
      <c r="D13" s="99" t="s">
        <v>1253</v>
      </c>
      <c r="E13" s="99" t="s">
        <v>1210</v>
      </c>
      <c r="F13" s="64" t="s">
        <v>1258</v>
      </c>
      <c r="G13" s="14" t="s">
        <v>1259</v>
      </c>
      <c r="H13" s="97"/>
      <c r="I13" s="97"/>
      <c r="J13" s="97"/>
      <c r="K13" s="97"/>
      <c r="L13" s="97"/>
      <c r="M13" s="97"/>
      <c r="N13" s="97"/>
      <c r="O13" s="97"/>
      <c r="P13" s="97"/>
      <c r="Q13" s="97"/>
      <c r="R13" s="97"/>
      <c r="S13" s="97"/>
      <c r="T13" s="97"/>
      <c r="U13" s="97"/>
      <c r="V13" s="97"/>
      <c r="W13" s="97"/>
      <c r="X13" s="97"/>
      <c r="Y13" s="97"/>
      <c r="Z13" s="97"/>
      <c r="AA13" s="97"/>
    </row>
    <row r="14">
      <c r="A14" s="45" t="s">
        <v>1260</v>
      </c>
      <c r="B14" s="14" t="s">
        <v>1261</v>
      </c>
      <c r="C14" s="14" t="s">
        <v>1215</v>
      </c>
      <c r="D14" s="64" t="s">
        <v>1209</v>
      </c>
      <c r="E14" s="64" t="s">
        <v>1248</v>
      </c>
      <c r="F14" s="27" t="s">
        <v>1262</v>
      </c>
      <c r="G14" s="14" t="s">
        <v>1263</v>
      </c>
      <c r="H14" s="97"/>
      <c r="I14" s="97"/>
      <c r="J14" s="97"/>
      <c r="K14" s="97"/>
      <c r="L14" s="97"/>
      <c r="M14" s="97"/>
      <c r="N14" s="97"/>
      <c r="O14" s="97"/>
      <c r="P14" s="97"/>
      <c r="Q14" s="97"/>
      <c r="R14" s="97"/>
      <c r="S14" s="97"/>
      <c r="T14" s="97"/>
      <c r="U14" s="97"/>
      <c r="V14" s="97"/>
      <c r="W14" s="97"/>
      <c r="X14" s="97"/>
      <c r="Y14" s="97"/>
      <c r="Z14" s="97"/>
      <c r="AA14" s="97"/>
    </row>
    <row r="15">
      <c r="A15" s="100" t="s">
        <v>1264</v>
      </c>
      <c r="B15" s="67" t="s">
        <v>1265</v>
      </c>
      <c r="C15" s="67" t="s">
        <v>1266</v>
      </c>
      <c r="D15" s="67" t="s">
        <v>1209</v>
      </c>
      <c r="E15" s="99" t="s">
        <v>1248</v>
      </c>
      <c r="F15" s="99" t="s">
        <v>1267</v>
      </c>
      <c r="G15" s="67" t="s">
        <v>1268</v>
      </c>
      <c r="H15" s="97"/>
      <c r="I15" s="97"/>
      <c r="J15" s="97"/>
      <c r="K15" s="97"/>
      <c r="L15" s="97"/>
      <c r="M15" s="97"/>
      <c r="N15" s="97"/>
      <c r="O15" s="97"/>
      <c r="P15" s="97"/>
      <c r="Q15" s="97"/>
      <c r="R15" s="97"/>
      <c r="S15" s="97"/>
      <c r="T15" s="97"/>
      <c r="U15" s="97"/>
      <c r="V15" s="97"/>
      <c r="W15" s="97"/>
      <c r="X15" s="97"/>
      <c r="Y15" s="97"/>
      <c r="Z15" s="97"/>
      <c r="AA15" s="97"/>
    </row>
    <row r="16">
      <c r="A16" s="95" t="s">
        <v>1269</v>
      </c>
      <c r="B16" s="14"/>
      <c r="C16" s="14"/>
      <c r="D16" s="14"/>
      <c r="E16" s="14"/>
      <c r="F16" s="14"/>
      <c r="G16" s="14"/>
      <c r="H16" s="97"/>
      <c r="I16" s="97"/>
      <c r="J16" s="97"/>
      <c r="K16" s="97"/>
      <c r="L16" s="97"/>
      <c r="M16" s="97"/>
      <c r="N16" s="97"/>
      <c r="O16" s="97"/>
      <c r="P16" s="97"/>
      <c r="Q16" s="97"/>
      <c r="R16" s="97"/>
      <c r="S16" s="97"/>
      <c r="T16" s="97"/>
      <c r="U16" s="97"/>
      <c r="V16" s="97"/>
      <c r="W16" s="97"/>
      <c r="X16" s="97"/>
      <c r="Y16" s="97"/>
      <c r="Z16" s="97"/>
      <c r="AA16" s="97"/>
    </row>
    <row r="17">
      <c r="A17" s="45" t="s">
        <v>1270</v>
      </c>
      <c r="B17" s="14" t="s">
        <v>1271</v>
      </c>
      <c r="C17" s="14" t="s">
        <v>1215</v>
      </c>
      <c r="D17" s="67" t="s">
        <v>1209</v>
      </c>
      <c r="E17" s="99" t="s">
        <v>1210</v>
      </c>
      <c r="F17" s="27" t="s">
        <v>1272</v>
      </c>
      <c r="G17" s="14" t="s">
        <v>1273</v>
      </c>
      <c r="H17" s="97"/>
      <c r="I17" s="97"/>
      <c r="J17" s="97"/>
      <c r="K17" s="97"/>
      <c r="L17" s="97"/>
      <c r="M17" s="97"/>
      <c r="N17" s="97"/>
      <c r="O17" s="97"/>
      <c r="P17" s="97"/>
      <c r="Q17" s="97"/>
      <c r="R17" s="97"/>
      <c r="S17" s="97"/>
      <c r="T17" s="97"/>
      <c r="U17" s="97"/>
      <c r="V17" s="97"/>
      <c r="W17" s="97"/>
      <c r="X17" s="97"/>
      <c r="Y17" s="97"/>
      <c r="Z17" s="97"/>
      <c r="AA17" s="97"/>
    </row>
    <row r="18">
      <c r="A18" s="45" t="s">
        <v>1274</v>
      </c>
      <c r="B18" s="14" t="s">
        <v>1275</v>
      </c>
      <c r="C18" s="14" t="s">
        <v>1215</v>
      </c>
      <c r="D18" s="67" t="s">
        <v>1209</v>
      </c>
      <c r="E18" s="99" t="s">
        <v>1210</v>
      </c>
      <c r="F18" s="27" t="s">
        <v>1272</v>
      </c>
      <c r="G18" s="14" t="s">
        <v>1276</v>
      </c>
      <c r="H18" s="97"/>
      <c r="I18" s="97"/>
      <c r="J18" s="97"/>
      <c r="K18" s="97"/>
      <c r="L18" s="97"/>
      <c r="M18" s="97"/>
      <c r="N18" s="97"/>
      <c r="O18" s="97"/>
      <c r="P18" s="97"/>
      <c r="Q18" s="97"/>
      <c r="R18" s="97"/>
      <c r="S18" s="97"/>
      <c r="T18" s="97"/>
      <c r="U18" s="97"/>
      <c r="V18" s="97"/>
      <c r="W18" s="97"/>
      <c r="X18" s="97"/>
      <c r="Y18" s="97"/>
      <c r="Z18" s="97"/>
      <c r="AA18" s="97"/>
    </row>
    <row r="19">
      <c r="A19" s="45" t="s">
        <v>1277</v>
      </c>
      <c r="B19" s="14" t="s">
        <v>1278</v>
      </c>
      <c r="C19" s="14" t="s">
        <v>1215</v>
      </c>
      <c r="D19" s="67" t="s">
        <v>1209</v>
      </c>
      <c r="E19" s="99" t="s">
        <v>1210</v>
      </c>
      <c r="F19" s="27" t="s">
        <v>1272</v>
      </c>
      <c r="G19" s="14" t="s">
        <v>1276</v>
      </c>
      <c r="H19" s="97"/>
      <c r="I19" s="97"/>
      <c r="J19" s="97"/>
      <c r="K19" s="97"/>
      <c r="L19" s="97"/>
      <c r="M19" s="97"/>
      <c r="N19" s="97"/>
      <c r="O19" s="97"/>
      <c r="P19" s="97"/>
      <c r="Q19" s="97"/>
      <c r="R19" s="97"/>
      <c r="S19" s="97"/>
      <c r="T19" s="97"/>
      <c r="U19" s="97"/>
      <c r="V19" s="97"/>
      <c r="W19" s="97"/>
      <c r="X19" s="97"/>
      <c r="Y19" s="97"/>
      <c r="Z19" s="97"/>
      <c r="AA19" s="97"/>
    </row>
    <row r="20">
      <c r="A20" s="45" t="s">
        <v>1279</v>
      </c>
      <c r="B20" s="14" t="s">
        <v>1280</v>
      </c>
      <c r="C20" s="14" t="s">
        <v>1215</v>
      </c>
      <c r="D20" s="67" t="s">
        <v>1209</v>
      </c>
      <c r="E20" s="99" t="s">
        <v>1210</v>
      </c>
      <c r="F20" s="27" t="s">
        <v>1272</v>
      </c>
      <c r="G20" s="14" t="s">
        <v>1281</v>
      </c>
      <c r="H20" s="97"/>
      <c r="I20" s="97"/>
      <c r="J20" s="97"/>
      <c r="K20" s="97"/>
      <c r="L20" s="97"/>
      <c r="M20" s="97"/>
      <c r="N20" s="97"/>
      <c r="O20" s="97"/>
      <c r="P20" s="97"/>
      <c r="Q20" s="97"/>
      <c r="R20" s="97"/>
      <c r="S20" s="97"/>
      <c r="T20" s="97"/>
      <c r="U20" s="97"/>
      <c r="V20" s="97"/>
      <c r="W20" s="97"/>
      <c r="X20" s="97"/>
      <c r="Y20" s="97"/>
      <c r="Z20" s="97"/>
      <c r="AA20" s="97"/>
    </row>
    <row r="21">
      <c r="A21" s="45" t="s">
        <v>1282</v>
      </c>
      <c r="B21" s="14" t="s">
        <v>1283</v>
      </c>
      <c r="C21" s="14" t="s">
        <v>1284</v>
      </c>
      <c r="D21" s="67" t="s">
        <v>1209</v>
      </c>
      <c r="E21" s="99" t="s">
        <v>1210</v>
      </c>
      <c r="F21" s="27" t="s">
        <v>1272</v>
      </c>
      <c r="G21" s="14" t="s">
        <v>1285</v>
      </c>
      <c r="H21" s="97"/>
      <c r="I21" s="97"/>
      <c r="J21" s="97"/>
      <c r="K21" s="97"/>
      <c r="L21" s="97"/>
      <c r="M21" s="97"/>
      <c r="N21" s="97"/>
      <c r="O21" s="97"/>
      <c r="P21" s="97"/>
      <c r="Q21" s="97"/>
      <c r="R21" s="97"/>
      <c r="S21" s="97"/>
      <c r="T21" s="97"/>
      <c r="U21" s="97"/>
      <c r="V21" s="97"/>
      <c r="W21" s="97"/>
      <c r="X21" s="97"/>
      <c r="Y21" s="97"/>
      <c r="Z21" s="97"/>
      <c r="AA21" s="97"/>
    </row>
    <row r="22">
      <c r="A22" s="97"/>
      <c r="B22" s="97"/>
      <c r="C22" s="97"/>
      <c r="D22" s="97"/>
      <c r="E22" s="97"/>
      <c r="F22" s="97"/>
      <c r="G22" s="97"/>
      <c r="H22" s="97"/>
      <c r="I22" s="97"/>
      <c r="J22" s="97"/>
      <c r="K22" s="97"/>
      <c r="L22" s="97"/>
      <c r="M22" s="97"/>
      <c r="N22" s="97"/>
      <c r="O22" s="97"/>
      <c r="P22" s="97"/>
      <c r="Q22" s="97"/>
      <c r="R22" s="97"/>
      <c r="S22" s="97"/>
      <c r="T22" s="97"/>
      <c r="U22" s="97"/>
      <c r="V22" s="97"/>
      <c r="W22" s="97"/>
      <c r="X22" s="97"/>
      <c r="Y22" s="97"/>
      <c r="Z22" s="97"/>
      <c r="AA22" s="97"/>
    </row>
    <row r="23">
      <c r="A23" s="97"/>
      <c r="B23" s="97"/>
      <c r="C23" s="97"/>
      <c r="D23" s="97"/>
      <c r="E23" s="97"/>
      <c r="F23" s="97"/>
      <c r="G23" s="97"/>
      <c r="H23" s="97"/>
      <c r="I23" s="97"/>
      <c r="J23" s="97"/>
      <c r="K23" s="97"/>
      <c r="L23" s="97"/>
      <c r="M23" s="97"/>
      <c r="N23" s="97"/>
      <c r="O23" s="97"/>
      <c r="P23" s="97"/>
      <c r="Q23" s="97"/>
      <c r="R23" s="97"/>
      <c r="S23" s="97"/>
      <c r="T23" s="97"/>
      <c r="U23" s="97"/>
      <c r="V23" s="97"/>
      <c r="W23" s="97"/>
      <c r="X23" s="97"/>
      <c r="Y23" s="97"/>
      <c r="Z23" s="97"/>
      <c r="AA23" s="97"/>
    </row>
    <row r="24">
      <c r="A24" s="97"/>
      <c r="B24" s="97"/>
      <c r="C24" s="97"/>
      <c r="D24" s="97"/>
      <c r="E24" s="97"/>
      <c r="F24" s="97"/>
      <c r="G24" s="97"/>
      <c r="H24" s="97"/>
      <c r="I24" s="97"/>
      <c r="J24" s="97"/>
      <c r="K24" s="97"/>
      <c r="L24" s="97"/>
      <c r="M24" s="97"/>
      <c r="N24" s="97"/>
      <c r="O24" s="97"/>
      <c r="P24" s="97"/>
      <c r="Q24" s="97"/>
      <c r="R24" s="97"/>
      <c r="S24" s="97"/>
      <c r="T24" s="97"/>
      <c r="U24" s="97"/>
      <c r="V24" s="97"/>
      <c r="W24" s="97"/>
      <c r="X24" s="97"/>
      <c r="Y24" s="97"/>
      <c r="Z24" s="97"/>
      <c r="AA24" s="97"/>
    </row>
    <row r="25">
      <c r="A25" s="97"/>
      <c r="B25" s="97"/>
      <c r="C25" s="97"/>
      <c r="D25" s="97"/>
      <c r="E25" s="97"/>
      <c r="F25" s="97"/>
      <c r="G25" s="97"/>
      <c r="H25" s="97"/>
      <c r="I25" s="97"/>
      <c r="J25" s="97"/>
      <c r="K25" s="97"/>
      <c r="L25" s="97"/>
      <c r="M25" s="97"/>
      <c r="N25" s="97"/>
      <c r="O25" s="97"/>
      <c r="P25" s="97"/>
      <c r="Q25" s="97"/>
      <c r="R25" s="97"/>
      <c r="S25" s="97"/>
      <c r="T25" s="97"/>
      <c r="U25" s="97"/>
      <c r="V25" s="97"/>
      <c r="W25" s="97"/>
      <c r="X25" s="97"/>
      <c r="Y25" s="97"/>
      <c r="Z25" s="97"/>
      <c r="AA25" s="97"/>
    </row>
    <row r="26">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c r="AA26" s="97"/>
    </row>
    <row r="27">
      <c r="A27" s="97"/>
      <c r="B27" s="97"/>
      <c r="C27" s="97"/>
      <c r="D27" s="97"/>
      <c r="E27" s="97"/>
      <c r="F27" s="97"/>
      <c r="G27" s="97"/>
      <c r="H27" s="97"/>
      <c r="I27" s="97"/>
      <c r="J27" s="97"/>
      <c r="K27" s="97"/>
      <c r="L27" s="97"/>
      <c r="M27" s="97"/>
      <c r="N27" s="97"/>
      <c r="O27" s="97"/>
      <c r="P27" s="97"/>
      <c r="Q27" s="97"/>
      <c r="R27" s="97"/>
      <c r="S27" s="97"/>
      <c r="T27" s="97"/>
      <c r="U27" s="97"/>
      <c r="V27" s="97"/>
      <c r="W27" s="97"/>
      <c r="X27" s="97"/>
      <c r="Y27" s="97"/>
      <c r="Z27" s="97"/>
      <c r="AA27" s="97"/>
    </row>
    <row r="28">
      <c r="A28" s="97"/>
      <c r="B28" s="101"/>
      <c r="C28" s="97"/>
      <c r="D28" s="97"/>
      <c r="E28" s="97"/>
      <c r="F28" s="97"/>
      <c r="G28" s="97"/>
      <c r="H28" s="97"/>
      <c r="I28" s="97"/>
      <c r="J28" s="97"/>
      <c r="K28" s="97"/>
      <c r="L28" s="97"/>
      <c r="M28" s="97"/>
      <c r="N28" s="97"/>
      <c r="O28" s="97"/>
      <c r="P28" s="97"/>
      <c r="Q28" s="97"/>
      <c r="R28" s="97"/>
      <c r="S28" s="97"/>
      <c r="T28" s="97"/>
      <c r="U28" s="97"/>
      <c r="V28" s="97"/>
      <c r="W28" s="97"/>
      <c r="X28" s="97"/>
      <c r="Y28" s="97"/>
      <c r="Z28" s="97"/>
      <c r="AA28" s="97"/>
    </row>
    <row r="29">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c r="AA29" s="97"/>
    </row>
    <row r="30">
      <c r="A30" s="97"/>
      <c r="B30" s="97"/>
      <c r="C30" s="97"/>
      <c r="D30" s="97"/>
      <c r="E30" s="97"/>
      <c r="F30" s="97"/>
      <c r="G30" s="97"/>
      <c r="H30" s="97"/>
      <c r="I30" s="97"/>
      <c r="J30" s="97"/>
      <c r="K30" s="97"/>
      <c r="L30" s="97"/>
      <c r="M30" s="97"/>
      <c r="N30" s="97"/>
      <c r="O30" s="97"/>
      <c r="P30" s="97"/>
      <c r="Q30" s="97"/>
      <c r="R30" s="97"/>
      <c r="S30" s="97"/>
      <c r="T30" s="97"/>
      <c r="U30" s="97"/>
      <c r="V30" s="97"/>
      <c r="W30" s="97"/>
      <c r="X30" s="97"/>
      <c r="Y30" s="97"/>
      <c r="Z30" s="97"/>
      <c r="AA30" s="97"/>
    </row>
    <row r="3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c r="AA31" s="97"/>
    </row>
    <row r="32">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c r="AA32" s="97"/>
    </row>
    <row r="33">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row>
    <row r="34">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c r="AA34" s="97"/>
    </row>
    <row r="35">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c r="AA35" s="97"/>
    </row>
    <row r="36">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c r="AA36" s="97"/>
    </row>
    <row r="37">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c r="AA37" s="97"/>
    </row>
    <row r="38">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c r="AA38" s="97"/>
    </row>
    <row r="39">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c r="AA39" s="97"/>
    </row>
    <row r="40">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c r="AA40" s="97"/>
    </row>
    <row r="4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c r="AA41" s="97"/>
    </row>
    <row r="42">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c r="AA42" s="97"/>
    </row>
    <row r="43">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c r="AA43" s="97"/>
    </row>
    <row r="44">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c r="AA44" s="97"/>
    </row>
    <row r="45">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c r="AA45" s="97"/>
    </row>
    <row r="46">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c r="AA46" s="97"/>
    </row>
    <row r="47">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c r="AA47" s="97"/>
    </row>
    <row r="48">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c r="AA48" s="97"/>
    </row>
    <row r="49">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c r="AA49" s="97"/>
    </row>
    <row r="50">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c r="AA50" s="97"/>
    </row>
    <row r="5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c r="AA51" s="97"/>
    </row>
    <row r="52">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c r="AA52" s="97"/>
    </row>
    <row r="53">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c r="AA53" s="97"/>
    </row>
    <row r="54">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c r="AA54" s="97"/>
    </row>
    <row r="55">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c r="AA55" s="97"/>
    </row>
    <row r="56">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c r="AA56" s="97"/>
    </row>
    <row r="57">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c r="AA57" s="97"/>
    </row>
    <row r="58">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c r="AA58" s="97"/>
    </row>
    <row r="59">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c r="AA59" s="97"/>
    </row>
    <row r="60">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c r="AA60" s="97"/>
    </row>
    <row r="6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c r="AA61" s="97"/>
    </row>
    <row r="62">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c r="AA62" s="97"/>
    </row>
    <row r="63">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c r="AA63" s="97"/>
    </row>
    <row r="64">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c r="AA64" s="97"/>
    </row>
    <row r="65">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c r="AA65" s="97"/>
    </row>
    <row r="66">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c r="AA66" s="97"/>
    </row>
    <row r="67">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c r="AA67" s="97"/>
    </row>
    <row r="68">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c r="AA68" s="97"/>
    </row>
    <row r="69">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c r="AA69" s="97"/>
    </row>
    <row r="70">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c r="AA70" s="97"/>
    </row>
    <row r="7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c r="AA71" s="97"/>
    </row>
    <row r="72">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c r="AA72" s="97"/>
    </row>
    <row r="73">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c r="AA73" s="97"/>
    </row>
    <row r="74">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c r="AA74" s="97"/>
    </row>
    <row r="75">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c r="AA75" s="97"/>
    </row>
    <row r="76">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c r="AA76" s="97"/>
    </row>
    <row r="77">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c r="AA77" s="97"/>
    </row>
    <row r="78">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c r="AA78" s="97"/>
    </row>
    <row r="79">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c r="AA79" s="97"/>
    </row>
    <row r="80">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row>
    <row r="8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c r="AA81" s="97"/>
    </row>
    <row r="82">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c r="AA82" s="97"/>
    </row>
    <row r="83">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c r="AA83" s="97"/>
    </row>
    <row r="84">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c r="AA84" s="97"/>
    </row>
    <row r="85">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c r="AA85" s="97"/>
    </row>
    <row r="86">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c r="AA86" s="97"/>
    </row>
    <row r="87">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c r="AA87" s="97"/>
    </row>
    <row r="88">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c r="AA88" s="97"/>
    </row>
    <row r="89">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c r="AA89" s="97"/>
    </row>
    <row r="90">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c r="AA90" s="97"/>
    </row>
    <row r="9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c r="AA91" s="97"/>
    </row>
    <row r="92">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c r="AA92" s="97"/>
    </row>
    <row r="93">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c r="AA93" s="97"/>
    </row>
    <row r="94">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c r="AA94" s="97"/>
    </row>
    <row r="95">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c r="AA95" s="97"/>
    </row>
    <row r="96">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c r="AA96" s="97"/>
    </row>
    <row r="9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c r="AA97" s="97"/>
    </row>
    <row r="98">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c r="AA98" s="97"/>
    </row>
    <row r="99">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c r="AA99" s="97"/>
    </row>
    <row r="100">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c r="AA100" s="97"/>
    </row>
    <row r="10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c r="AA101" s="97"/>
    </row>
    <row r="1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c r="AA102" s="97"/>
    </row>
    <row r="10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c r="AA103" s="97"/>
    </row>
    <row r="104">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c r="AA104" s="97"/>
    </row>
    <row r="10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c r="AA105" s="97"/>
    </row>
    <row r="106">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c r="AA106" s="97"/>
    </row>
    <row r="10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c r="AA107" s="97"/>
    </row>
    <row r="108">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c r="AA108" s="97"/>
    </row>
    <row r="109">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c r="AA109" s="97"/>
    </row>
    <row r="110">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c r="AA110" s="97"/>
    </row>
    <row r="11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c r="AA111" s="97"/>
    </row>
    <row r="11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c r="AA112" s="97"/>
    </row>
    <row r="1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c r="AA113" s="97"/>
    </row>
    <row r="114">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c r="AA114" s="97"/>
    </row>
    <row r="11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c r="AA115" s="97"/>
    </row>
    <row r="116">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c r="AA116" s="97"/>
    </row>
    <row r="11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c r="AA117" s="97"/>
    </row>
    <row r="118">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c r="AA118" s="97"/>
    </row>
    <row r="119">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c r="AA119" s="97"/>
    </row>
    <row r="120">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c r="AA120" s="97"/>
    </row>
    <row r="12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c r="AA121" s="97"/>
    </row>
    <row r="12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c r="AA122" s="97"/>
    </row>
    <row r="12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c r="AA123" s="97"/>
    </row>
    <row r="124">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c r="AA124" s="97"/>
    </row>
    <row r="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c r="AA125" s="97"/>
    </row>
    <row r="126">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c r="AA126" s="97"/>
    </row>
    <row r="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c r="AA127" s="97"/>
    </row>
    <row r="128">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c r="AA128" s="97"/>
    </row>
    <row r="129">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c r="AA129" s="97"/>
    </row>
    <row r="130">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c r="AA130" s="97"/>
    </row>
    <row r="13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c r="AA131" s="97"/>
    </row>
    <row r="13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c r="AA132" s="97"/>
    </row>
    <row r="13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c r="AA133" s="97"/>
    </row>
    <row r="134">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c r="AA134" s="97"/>
    </row>
    <row r="13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c r="AA135" s="97"/>
    </row>
    <row r="136">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c r="AA136" s="97"/>
    </row>
    <row r="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c r="AA137" s="97"/>
    </row>
    <row r="138">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c r="AA138" s="97"/>
    </row>
    <row r="139">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c r="AA139" s="97"/>
    </row>
    <row r="140">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c r="AA140" s="97"/>
    </row>
    <row r="14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c r="AA141" s="97"/>
    </row>
    <row r="14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c r="AA142" s="97"/>
    </row>
    <row r="14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c r="AA143" s="97"/>
    </row>
    <row r="144">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c r="AA144" s="97"/>
    </row>
    <row r="14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c r="AA145" s="97"/>
    </row>
    <row r="146">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c r="AA146" s="97"/>
    </row>
    <row r="14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c r="AA147" s="97"/>
    </row>
    <row r="148">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c r="AA148" s="97"/>
    </row>
    <row r="149">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c r="AA149" s="97"/>
    </row>
    <row r="150">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c r="AA150" s="97"/>
    </row>
    <row r="15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c r="AA151" s="97"/>
    </row>
    <row r="15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c r="AA152" s="97"/>
    </row>
    <row r="15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c r="AA153" s="97"/>
    </row>
    <row r="154">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c r="AA154" s="97"/>
    </row>
    <row r="15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c r="AA155" s="97"/>
    </row>
    <row r="156">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c r="AA156" s="97"/>
    </row>
    <row r="15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c r="AA157" s="97"/>
    </row>
    <row r="158">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c r="AA158" s="97"/>
    </row>
    <row r="159">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c r="AA159" s="97"/>
    </row>
    <row r="160">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c r="AA160" s="97"/>
    </row>
    <row r="16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c r="AA161" s="97"/>
    </row>
    <row r="16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c r="AA162" s="97"/>
    </row>
    <row r="16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c r="AA163" s="97"/>
    </row>
    <row r="164">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c r="AA164" s="97"/>
    </row>
    <row r="16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c r="AA165" s="97"/>
    </row>
    <row r="166">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c r="AA166" s="97"/>
    </row>
    <row r="16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c r="AA167" s="97"/>
    </row>
    <row r="168">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c r="AA168" s="97"/>
    </row>
    <row r="169">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c r="AA169" s="97"/>
    </row>
    <row r="170">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c r="AA170" s="97"/>
    </row>
    <row r="17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c r="AA171" s="97"/>
    </row>
    <row r="17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c r="AA172" s="97"/>
    </row>
    <row r="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c r="AA173" s="97"/>
    </row>
    <row r="174">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c r="AA174" s="97"/>
    </row>
    <row r="17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c r="AA175" s="97"/>
    </row>
    <row r="176">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c r="AA176" s="97"/>
    </row>
    <row r="17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c r="AA177" s="97"/>
    </row>
    <row r="178">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c r="AA178" s="97"/>
    </row>
    <row r="179">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c r="AA179" s="97"/>
    </row>
    <row r="180">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c r="AA180" s="97"/>
    </row>
    <row r="18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c r="AA181" s="97"/>
    </row>
    <row r="18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c r="AA182" s="97"/>
    </row>
    <row r="18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c r="AA183" s="97"/>
    </row>
    <row r="184">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row>
    <row r="18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row>
    <row r="186">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row>
    <row r="18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c r="AA187" s="97"/>
    </row>
    <row r="188">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c r="AA188" s="97"/>
    </row>
    <row r="189">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c r="AA189" s="97"/>
    </row>
    <row r="190">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c r="AA190" s="97"/>
    </row>
    <row r="19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c r="AA191" s="97"/>
    </row>
    <row r="19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c r="AA192" s="97"/>
    </row>
    <row r="19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c r="AA193" s="97"/>
    </row>
    <row r="194">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c r="AA194" s="97"/>
    </row>
    <row r="19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c r="AA195" s="97"/>
    </row>
    <row r="196">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c r="AA196" s="97"/>
    </row>
    <row r="19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c r="AA197" s="97"/>
    </row>
    <row r="198">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c r="AA198" s="97"/>
    </row>
    <row r="199">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c r="AA199" s="97"/>
    </row>
    <row r="200">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c r="AA200" s="97"/>
    </row>
    <row r="20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c r="AA201" s="97"/>
    </row>
    <row r="2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c r="AA202" s="97"/>
    </row>
    <row r="20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c r="AA203" s="97"/>
    </row>
    <row r="204">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c r="AA204" s="97"/>
    </row>
    <row r="20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c r="AA205" s="97"/>
    </row>
    <row r="206">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c r="AA206" s="97"/>
    </row>
    <row r="20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c r="AA207" s="97"/>
    </row>
    <row r="208">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c r="AA208" s="97"/>
    </row>
    <row r="209">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c r="AA209" s="97"/>
    </row>
    <row r="210">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c r="AA210" s="97"/>
    </row>
    <row r="21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c r="AA211" s="97"/>
    </row>
    <row r="21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c r="AA212" s="97"/>
    </row>
    <row r="2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c r="AA213" s="97"/>
    </row>
    <row r="214">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c r="AA214" s="97"/>
    </row>
    <row r="21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c r="AA215" s="97"/>
    </row>
    <row r="216">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c r="AA216" s="97"/>
    </row>
    <row r="21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c r="AA217" s="97"/>
    </row>
    <row r="218">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c r="AA218" s="97"/>
    </row>
    <row r="219">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c r="AA219" s="97"/>
    </row>
    <row r="220">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c r="AA220" s="97"/>
    </row>
    <row r="22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c r="AA221" s="97"/>
    </row>
    <row r="22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c r="AA222" s="97"/>
    </row>
    <row r="22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c r="AA223" s="97"/>
    </row>
    <row r="224">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c r="AA224" s="97"/>
    </row>
    <row r="2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c r="AA225" s="97"/>
    </row>
    <row r="226">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c r="AA226" s="97"/>
    </row>
    <row r="2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c r="AA227" s="97"/>
    </row>
    <row r="228">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c r="AA228" s="97"/>
    </row>
    <row r="229">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c r="AA229" s="97"/>
    </row>
    <row r="230">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c r="AA230" s="97"/>
    </row>
    <row r="23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c r="AA231" s="97"/>
    </row>
    <row r="23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c r="AA232" s="97"/>
    </row>
    <row r="23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c r="AA233" s="97"/>
    </row>
    <row r="234">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c r="AA234" s="97"/>
    </row>
    <row r="23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c r="AA235" s="97"/>
    </row>
    <row r="236">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c r="AA236" s="97"/>
    </row>
    <row r="23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c r="AA237" s="97"/>
    </row>
    <row r="238">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c r="AA238" s="97"/>
    </row>
    <row r="239">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c r="AA239" s="97"/>
    </row>
    <row r="240">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c r="AA240" s="97"/>
    </row>
    <row r="24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c r="AA241" s="97"/>
    </row>
    <row r="24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c r="AA242" s="97"/>
    </row>
    <row r="24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c r="AA243" s="97"/>
    </row>
    <row r="244">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c r="AA244" s="97"/>
    </row>
    <row r="24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c r="AA245" s="97"/>
    </row>
    <row r="246">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c r="AA246" s="97"/>
    </row>
    <row r="24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c r="AA247" s="97"/>
    </row>
    <row r="248">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c r="AA248" s="97"/>
    </row>
    <row r="249">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c r="AA249" s="97"/>
    </row>
    <row r="250">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c r="AA250" s="97"/>
    </row>
    <row r="25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c r="AA251" s="97"/>
    </row>
    <row r="25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c r="AA252" s="97"/>
    </row>
    <row r="25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c r="AA253" s="97"/>
    </row>
    <row r="254">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c r="AA254" s="97"/>
    </row>
    <row r="25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c r="AA255" s="97"/>
    </row>
    <row r="256">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c r="AA256" s="97"/>
    </row>
    <row r="25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c r="AA257" s="97"/>
    </row>
    <row r="258">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c r="AA258" s="97"/>
    </row>
    <row r="259">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c r="AA259" s="97"/>
    </row>
    <row r="260">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c r="AA260" s="97"/>
    </row>
    <row r="26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c r="AA261" s="97"/>
    </row>
    <row r="26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c r="AA262" s="97"/>
    </row>
    <row r="26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c r="AA263" s="97"/>
    </row>
    <row r="264">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c r="AA264" s="97"/>
    </row>
    <row r="26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c r="AA265" s="97"/>
    </row>
    <row r="266">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c r="AA266" s="97"/>
    </row>
    <row r="26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c r="AA267" s="97"/>
    </row>
    <row r="268">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c r="AA268" s="97"/>
    </row>
    <row r="269">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c r="AA269" s="97"/>
    </row>
    <row r="270">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c r="AA270" s="97"/>
    </row>
    <row r="27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row>
    <row r="27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row>
    <row r="27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c r="AA273" s="97"/>
    </row>
    <row r="274">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c r="AA274" s="97"/>
    </row>
    <row r="27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c r="AA275" s="97"/>
    </row>
    <row r="276">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c r="AA276" s="97"/>
    </row>
    <row r="27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c r="AA277" s="97"/>
    </row>
    <row r="278">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c r="AA278" s="97"/>
    </row>
    <row r="279">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c r="AA279" s="97"/>
    </row>
    <row r="280">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c r="AA280" s="97"/>
    </row>
    <row r="28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c r="AA281" s="97"/>
    </row>
    <row r="28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c r="AA282" s="97"/>
    </row>
    <row r="28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c r="AA283" s="97"/>
    </row>
    <row r="284">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c r="AA284" s="97"/>
    </row>
    <row r="28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c r="AA285" s="97"/>
    </row>
    <row r="286">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c r="AA286" s="97"/>
    </row>
    <row r="28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c r="AA287" s="97"/>
    </row>
    <row r="288">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c r="AA288" s="97"/>
    </row>
    <row r="289">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c r="AA289" s="97"/>
    </row>
    <row r="290">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c r="AA290" s="97"/>
    </row>
    <row r="29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c r="AA291" s="97"/>
    </row>
    <row r="29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c r="AA292" s="97"/>
    </row>
    <row r="29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c r="AA293" s="97"/>
    </row>
    <row r="294">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c r="AA294" s="97"/>
    </row>
    <row r="29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c r="AA295" s="97"/>
    </row>
    <row r="296">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c r="AA296" s="97"/>
    </row>
    <row r="29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c r="AA297" s="97"/>
    </row>
    <row r="298">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c r="AA298" s="97"/>
    </row>
    <row r="299">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c r="AA299" s="97"/>
    </row>
    <row r="300">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c r="AA300" s="97"/>
    </row>
    <row r="30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c r="AA301" s="97"/>
    </row>
    <row r="3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c r="AA302" s="97"/>
    </row>
    <row r="30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c r="AA303" s="97"/>
    </row>
    <row r="304">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c r="AA304" s="97"/>
    </row>
    <row r="30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c r="AA305" s="97"/>
    </row>
    <row r="306">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c r="AA306" s="97"/>
    </row>
    <row r="30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c r="AA307" s="97"/>
    </row>
    <row r="308">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c r="AA308" s="97"/>
    </row>
    <row r="309">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c r="AA309" s="97"/>
    </row>
    <row r="310">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c r="AA310" s="97"/>
    </row>
    <row r="31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c r="AA311" s="97"/>
    </row>
    <row r="31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c r="AA312" s="97"/>
    </row>
    <row r="3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c r="AA313" s="97"/>
    </row>
    <row r="314">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c r="AA314" s="97"/>
    </row>
    <row r="31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c r="AA315" s="97"/>
    </row>
    <row r="316">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c r="AA316" s="97"/>
    </row>
    <row r="31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c r="AA317" s="97"/>
    </row>
    <row r="318">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c r="AA318" s="97"/>
    </row>
    <row r="319">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c r="AA319" s="97"/>
    </row>
    <row r="320">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c r="AA320" s="97"/>
    </row>
    <row r="32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c r="AA321" s="97"/>
    </row>
    <row r="32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c r="AA322" s="97"/>
    </row>
    <row r="32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c r="AA323" s="97"/>
    </row>
    <row r="324">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c r="AA324" s="97"/>
    </row>
    <row r="3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c r="AA325" s="97"/>
    </row>
    <row r="326">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c r="AA326" s="97"/>
    </row>
    <row r="3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c r="AA327" s="97"/>
    </row>
    <row r="328">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c r="AA328" s="97"/>
    </row>
    <row r="329">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c r="AA329" s="97"/>
    </row>
    <row r="330">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c r="AA330" s="97"/>
    </row>
    <row r="33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c r="AA331" s="97"/>
    </row>
    <row r="33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c r="AA332" s="97"/>
    </row>
    <row r="33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c r="AA333" s="97"/>
    </row>
    <row r="334">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c r="AA334" s="97"/>
    </row>
    <row r="33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c r="AA335" s="97"/>
    </row>
    <row r="336">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c r="AA336" s="97"/>
    </row>
    <row r="33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c r="AA337" s="97"/>
    </row>
    <row r="338">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c r="AA338" s="97"/>
    </row>
    <row r="339">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c r="AA339" s="97"/>
    </row>
    <row r="340">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c r="AA340" s="97"/>
    </row>
    <row r="34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c r="AA341" s="97"/>
    </row>
    <row r="34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c r="AA342" s="97"/>
    </row>
    <row r="34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c r="AA343" s="97"/>
    </row>
    <row r="344">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c r="AA344" s="97"/>
    </row>
    <row r="34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c r="AA345" s="97"/>
    </row>
    <row r="346">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c r="AA346" s="97"/>
    </row>
    <row r="34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c r="AA347" s="97"/>
    </row>
    <row r="348">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c r="AA348" s="97"/>
    </row>
    <row r="349">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c r="AA349" s="97"/>
    </row>
    <row r="350">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c r="AA350" s="97"/>
    </row>
    <row r="35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c r="AA351" s="97"/>
    </row>
    <row r="35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c r="AA352" s="97"/>
    </row>
    <row r="35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c r="AA353" s="97"/>
    </row>
    <row r="354">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c r="AA354" s="97"/>
    </row>
    <row r="35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c r="AA355" s="97"/>
    </row>
    <row r="356">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c r="AA356" s="97"/>
    </row>
    <row r="35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c r="AA357" s="97"/>
    </row>
    <row r="358">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c r="AA358" s="97"/>
    </row>
    <row r="359">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c r="AA359" s="97"/>
    </row>
    <row r="360">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c r="AA360" s="97"/>
    </row>
    <row r="36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c r="AA361" s="97"/>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c r="AA362" s="97"/>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c r="AA363" s="97"/>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c r="AA364" s="97"/>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c r="AA365" s="97"/>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c r="AA366" s="97"/>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c r="AA367" s="97"/>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c r="AA368" s="97"/>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c r="AA369" s="97"/>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c r="AA370" s="97"/>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c r="AA371" s="97"/>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c r="AA372" s="97"/>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c r="AA373" s="97"/>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c r="AA374" s="97"/>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c r="AA375" s="97"/>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c r="AA376" s="97"/>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c r="AA377" s="97"/>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c r="AA378" s="97"/>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c r="AA379" s="97"/>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c r="AA380" s="97"/>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c r="AA381" s="97"/>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c r="AA382" s="97"/>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c r="AA383" s="97"/>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c r="AA384" s="97"/>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c r="AA385" s="97"/>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c r="AA386" s="97"/>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c r="AA387" s="97"/>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c r="AA388" s="97"/>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c r="AA389" s="97"/>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c r="AA390" s="97"/>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c r="AA391" s="97"/>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c r="AA392" s="97"/>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c r="AA393" s="97"/>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c r="AA394" s="97"/>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c r="AA395" s="97"/>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c r="AA396" s="97"/>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c r="AA397" s="97"/>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c r="AA398" s="97"/>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c r="AA399" s="97"/>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c r="AA400" s="97"/>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c r="AA401" s="97"/>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c r="AA402" s="97"/>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c r="AA403" s="97"/>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c r="AA404" s="97"/>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c r="AA405" s="97"/>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c r="AA406" s="97"/>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c r="AA407" s="97"/>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c r="AA408" s="97"/>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c r="AA409" s="97"/>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c r="AA410" s="97"/>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c r="AA411" s="97"/>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c r="AA412" s="97"/>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c r="AA413" s="97"/>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c r="AA414" s="97"/>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c r="AA415" s="97"/>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c r="AA416" s="97"/>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c r="AA417" s="97"/>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c r="AA418" s="97"/>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c r="AA419" s="97"/>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c r="AA420" s="97"/>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c r="AA421" s="97"/>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c r="AA422" s="97"/>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c r="AA423" s="97"/>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c r="AA424" s="97"/>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c r="AA425" s="97"/>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c r="AA426" s="97"/>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c r="AA427" s="97"/>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c r="AA428" s="97"/>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c r="AA429" s="97"/>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c r="AA430" s="97"/>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c r="AA431" s="97"/>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c r="AA432" s="97"/>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c r="AA433" s="97"/>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c r="AA434" s="97"/>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c r="AA435" s="97"/>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c r="AA436" s="97"/>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c r="AA437" s="97"/>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c r="AA438" s="97"/>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c r="AA439" s="97"/>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c r="AA440" s="97"/>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c r="AA441" s="97"/>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c r="AA442" s="97"/>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c r="AA443" s="97"/>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c r="AA444" s="97"/>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c r="AA445" s="97"/>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c r="AA446" s="97"/>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c r="AA447" s="97"/>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c r="AA448" s="97"/>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c r="AA449" s="97"/>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c r="AA450" s="97"/>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c r="AA451" s="97"/>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c r="AA452" s="97"/>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c r="AA453" s="97"/>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c r="AA454" s="97"/>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c r="AA455" s="97"/>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c r="AA456" s="97"/>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c r="AA457" s="97"/>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c r="AA458" s="97"/>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c r="AA459" s="97"/>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c r="AA460" s="97"/>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c r="AA461" s="97"/>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c r="AA462" s="97"/>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c r="AA463" s="97"/>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c r="AA464" s="97"/>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c r="AA465" s="97"/>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c r="AA466" s="97"/>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c r="AA467" s="97"/>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c r="AA468" s="97"/>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c r="AA469" s="97"/>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c r="AA470" s="97"/>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c r="AA471" s="97"/>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c r="AA472" s="97"/>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c r="AA473" s="97"/>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c r="AA474" s="97"/>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c r="AA475" s="97"/>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c r="AA476" s="97"/>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c r="AA477" s="97"/>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c r="AA478" s="97"/>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c r="AA479" s="97"/>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c r="AA480" s="97"/>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c r="AA481" s="97"/>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c r="AA482" s="97"/>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c r="AA483" s="97"/>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c r="AA484" s="97"/>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c r="AA485" s="97"/>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c r="AA486" s="97"/>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c r="AA487" s="97"/>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c r="AA488" s="97"/>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c r="AA489" s="97"/>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c r="AA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c r="AA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c r="AA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c r="AA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c r="AA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c r="AA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c r="AA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c r="AA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c r="AA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c r="AA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c r="AA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c r="AA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c r="AA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c r="AA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c r="AA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c r="AA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c r="AA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c r="AA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c r="AA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c r="AA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c r="AA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c r="AA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c r="AA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c r="AA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c r="AA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c r="AA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c r="AA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c r="AA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c r="AA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c r="AA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c r="AA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c r="AA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c r="AA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c r="AA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c r="AA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c r="AA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c r="AA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c r="AA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c r="AA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c r="AA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c r="AA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c r="AA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c r="AA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c r="AA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c r="AA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c r="AA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c r="AA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c r="AA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c r="AA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c r="AA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c r="AA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c r="AA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c r="AA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c r="AA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c r="AA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c r="AA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c r="AA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c r="AA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c r="AA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c r="AA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c r="AA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c r="AA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c r="AA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c r="AA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c r="AA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c r="AA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c r="AA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c r="AA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c r="AA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c r="AA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c r="AA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c r="AA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c r="AA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c r="AA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c r="AA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c r="AA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c r="AA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c r="AA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c r="AA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c r="AA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c r="AA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c r="AA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c r="AA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c r="AA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c r="AA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c r="AA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c r="AA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c r="AA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c r="AA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c r="AA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c r="AA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c r="AA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c r="AA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c r="AA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c r="AA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c r="AA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c r="AA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c r="AA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c r="AA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c r="AA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c r="AA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c r="AA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c r="AA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c r="AA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c r="AA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c r="AA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c r="AA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c r="AA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c r="AA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c r="AA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c r="AA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c r="AA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c r="AA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c r="AA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c r="AA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c r="AA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c r="AA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c r="AA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c r="AA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c r="AA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c r="AA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c r="AA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c r="AA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c r="AA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c r="AA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c r="AA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c r="AA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c r="AA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c r="AA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c r="AA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c r="AA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c r="AA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c r="AA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c r="AA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c r="AA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c r="AA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c r="AA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c r="AA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c r="AA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c r="AA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c r="AA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c r="AA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c r="AA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c r="AA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c r="AA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c r="AA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c r="AA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c r="AA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c r="AA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c r="AA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c r="AA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c r="AA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c r="AA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c r="AA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c r="AA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c r="AA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c r="AA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c r="AA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c r="AA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c r="AA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c r="AA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c r="AA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c r="AA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c r="AA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c r="AA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c r="AA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c r="AA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c r="AA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c r="AA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c r="AA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c r="AA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c r="AA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c r="AA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c r="AA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c r="AA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c r="AA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c r="AA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c r="AA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c r="AA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c r="AA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c r="AA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c r="AA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c r="AA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c r="AA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c r="AA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c r="AA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c r="AA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c r="AA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c r="AA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c r="AA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c r="AA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c r="AA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c r="AA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c r="AA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c r="AA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c r="AA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c r="AA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c r="AA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c r="AA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c r="AA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c r="AA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c r="AA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c r="AA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c r="AA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c r="AA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c r="AA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c r="AA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c r="AA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c r="AA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c r="AA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c r="AA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c r="AA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c r="AA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c r="AA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c r="AA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c r="AA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c r="AA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c r="AA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c r="AA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c r="AA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c r="AA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c r="AA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c r="AA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c r="AA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c r="AA996" s="97"/>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c r="Z997" s="97"/>
      <c r="AA997" s="97"/>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c r="Z998" s="97"/>
      <c r="AA998" s="97"/>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c r="Z999" s="97"/>
      <c r="AA999" s="97"/>
    </row>
    <row r="1000">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c r="Z1000" s="97"/>
      <c r="AA1000" s="97"/>
    </row>
  </sheetData>
  <hyperlinks>
    <hyperlink r:id="rId1" location="L108" ref="A3"/>
    <hyperlink r:id="rId2" ref="F3"/>
    <hyperlink r:id="rId3" location="L206" ref="A4"/>
    <hyperlink r:id="rId4" ref="F4"/>
    <hyperlink r:id="rId5" location="L234" ref="A5"/>
    <hyperlink r:id="rId6" ref="F5"/>
    <hyperlink r:id="rId7" location="L2701" ref="A6"/>
    <hyperlink r:id="rId8" ref="F6"/>
    <hyperlink r:id="rId9" location="L60" ref="A7"/>
    <hyperlink r:id="rId10" ref="F7"/>
    <hyperlink r:id="rId11" location="L235" ref="A8"/>
    <hyperlink r:id="rId12" location="L75" ref="A9"/>
    <hyperlink r:id="rId13" ref="F9"/>
    <hyperlink r:id="rId14" location="L218" ref="A10"/>
    <hyperlink r:id="rId15" ref="F10"/>
    <hyperlink r:id="rId16" location="L15" ref="A11"/>
    <hyperlink r:id="rId17" ref="F11"/>
    <hyperlink r:id="rId18" location="L57" ref="A12"/>
    <hyperlink r:id="rId19" location="L36" ref="A13"/>
    <hyperlink r:id="rId20" location="L17" ref="A14"/>
    <hyperlink r:id="rId21" ref="F14"/>
    <hyperlink r:id="rId22" location="L11" ref="A15"/>
    <hyperlink r:id="rId23" location="L30" ref="A17"/>
    <hyperlink r:id="rId24" ref="F17"/>
    <hyperlink r:id="rId25" location="L107" ref="A18"/>
    <hyperlink r:id="rId26" ref="F18"/>
    <hyperlink r:id="rId27" location="L303" ref="A19"/>
    <hyperlink r:id="rId28" ref="F19"/>
    <hyperlink r:id="rId29" location="L830" ref="A20"/>
    <hyperlink r:id="rId30" ref="F20"/>
    <hyperlink r:id="rId31" location="L1556" ref="A21"/>
    <hyperlink r:id="rId32" ref="F21"/>
  </hyperlinks>
  <drawing r:id="rId3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29.63"/>
    <col customWidth="1" min="3" max="3" width="47.75"/>
    <col customWidth="1" min="4" max="4" width="40.88"/>
    <col customWidth="1" min="5" max="5" width="23.63"/>
    <col customWidth="1" min="6" max="6" width="26.88"/>
  </cols>
  <sheetData>
    <row r="1">
      <c r="A1" s="102" t="s">
        <v>1286</v>
      </c>
      <c r="B1" s="103"/>
      <c r="C1" s="103"/>
      <c r="D1" s="103"/>
      <c r="E1" s="104" t="s">
        <v>1287</v>
      </c>
      <c r="F1" s="104" t="s">
        <v>1287</v>
      </c>
    </row>
    <row r="2">
      <c r="A2" s="105" t="s">
        <v>1</v>
      </c>
      <c r="B2" s="3" t="s">
        <v>2</v>
      </c>
      <c r="C2" s="3" t="s">
        <v>3</v>
      </c>
      <c r="D2" s="3" t="s">
        <v>4</v>
      </c>
      <c r="E2" s="106" t="s">
        <v>7</v>
      </c>
      <c r="F2" s="5" t="s">
        <v>9</v>
      </c>
    </row>
    <row r="3">
      <c r="A3" s="107" t="s">
        <v>1288</v>
      </c>
      <c r="B3" s="108"/>
      <c r="C3" s="108"/>
      <c r="D3" s="109"/>
      <c r="E3" s="110" t="b">
        <v>1</v>
      </c>
      <c r="F3" s="111"/>
    </row>
    <row r="4">
      <c r="A4" s="112" t="s">
        <v>1289</v>
      </c>
      <c r="B4" s="113"/>
      <c r="C4" s="113"/>
      <c r="D4" s="114"/>
      <c r="E4" s="115" t="b">
        <v>1</v>
      </c>
      <c r="F4" s="116"/>
    </row>
    <row r="5">
      <c r="A5" s="117" t="str">
        <f>HYPERLINK("https://github.com/pytorch/pytorch/blob/f99ab991dcd3719ee25dd3377a53ea12e518308e/test/distributed/test_c10d_common.py#L139", "TimeoutTest")</f>
        <v>TimeoutTest</v>
      </c>
      <c r="B5" s="30" t="s">
        <v>1290</v>
      </c>
      <c r="C5" s="30" t="s">
        <v>1291</v>
      </c>
      <c r="D5" s="30" t="s">
        <v>64</v>
      </c>
      <c r="E5" s="118" t="b">
        <v>1</v>
      </c>
      <c r="F5" s="119" t="s">
        <v>1292</v>
      </c>
    </row>
    <row r="6">
      <c r="A6" s="120" t="str">
        <f>HYPERLINK("https://github.com/pytorch/pytorch/blob/f99ab991dcd3719ee25dd3377a53ea12e518308e/test/distributed/test_c10d_common.py#L1070", "ComputeBucketAssignmentTest")</f>
        <v>ComputeBucketAssignmentTest</v>
      </c>
      <c r="B6" s="25" t="s">
        <v>1290</v>
      </c>
      <c r="C6" s="25" t="s">
        <v>1293</v>
      </c>
      <c r="D6" s="25" t="s">
        <v>1294</v>
      </c>
      <c r="E6" s="121" t="b">
        <f>IF(E4=TRUE,TRUE,FALSE)</f>
        <v>1</v>
      </c>
      <c r="F6" s="119" t="s">
        <v>1295</v>
      </c>
    </row>
    <row r="7">
      <c r="A7" s="117" t="str">
        <f>HYPERLINK("https://github.com/pytorch/pytorch/blob/f99ab991dcd3719ee25dd3377a53ea12e518308e/test/distributed/test_c10d_common.py#L1524", "CommTest")</f>
        <v>CommTest</v>
      </c>
      <c r="B7" s="30" t="s">
        <v>1290</v>
      </c>
      <c r="C7" s="30" t="s">
        <v>1296</v>
      </c>
      <c r="D7" s="30" t="s">
        <v>1294</v>
      </c>
      <c r="E7" s="118" t="b">
        <f>IF(E4=TRUE,TRUE,FALSE)</f>
        <v>1</v>
      </c>
      <c r="F7" s="119" t="s">
        <v>1295</v>
      </c>
    </row>
    <row r="8">
      <c r="A8" s="120" t="str">
        <f>HYPERLINK("https://github.com/pytorch/pytorch/blob/f99ab991dcd3719ee25dd3377a53ea12e518308e/test/distributed/test_c10d_common.py#L1696", "PythonProcessGroupExtensionTest")</f>
        <v>PythonProcessGroupExtensionTest</v>
      </c>
      <c r="B8" s="25" t="s">
        <v>1290</v>
      </c>
      <c r="C8" s="25" t="s">
        <v>1297</v>
      </c>
      <c r="D8" s="25" t="s">
        <v>1294</v>
      </c>
      <c r="E8" s="121" t="b">
        <f>IF(E4=TRUE,TRUE,FALSE)</f>
        <v>1</v>
      </c>
      <c r="F8" s="119" t="s">
        <v>1295</v>
      </c>
    </row>
    <row r="9">
      <c r="A9" s="117" t="str">
        <f>HYPERLINK("https://github.com/pytorch/pytorch/blob/f99ab991dcd3719ee25dd3377a53ea12e518308e/test/distributed/test_c10d_common.py#L1969", "ProcessGroupWithDispatchedCollectivesTests")</f>
        <v>ProcessGroupWithDispatchedCollectivesTests</v>
      </c>
      <c r="B9" s="30" t="s">
        <v>1290</v>
      </c>
      <c r="C9" s="30" t="s">
        <v>1298</v>
      </c>
      <c r="D9" s="30" t="s">
        <v>1294</v>
      </c>
      <c r="E9" s="118" t="b">
        <f>IF(E4=TRUE,TRUE,FALSE)</f>
        <v>1</v>
      </c>
      <c r="F9" s="119" t="s">
        <v>1295</v>
      </c>
    </row>
    <row r="10">
      <c r="A10" s="122" t="str">
        <f>HYPERLINK("https://github.com/pytorch/pytorch/blob/f99ab991dcd3719ee25dd3377a53ea12e518308e/test/distributed/test_c10d_common.py#L2149", "ReduceOpTest")</f>
        <v>ReduceOpTest</v>
      </c>
      <c r="B10" s="91" t="s">
        <v>1290</v>
      </c>
      <c r="C10" s="91" t="s">
        <v>1299</v>
      </c>
      <c r="D10" s="91" t="s">
        <v>284</v>
      </c>
      <c r="E10" s="123" t="b">
        <v>0</v>
      </c>
      <c r="F10" s="124"/>
    </row>
    <row r="11">
      <c r="A11" s="125" t="str">
        <f>HYPERLINK("https://github.com/pytorch/pytorch/blob/f99ab991dcd3719ee25dd3377a53ea12e518308e/test/distributed/test_c10d_common.py#L2237", "LocalRankTest")</f>
        <v>LocalRankTest</v>
      </c>
      <c r="B11" s="47" t="s">
        <v>1290</v>
      </c>
      <c r="C11" s="47" t="s">
        <v>1300</v>
      </c>
      <c r="D11" s="47" t="s">
        <v>64</v>
      </c>
      <c r="E11" s="126" t="b">
        <v>1</v>
      </c>
      <c r="F11" s="127"/>
    </row>
    <row r="12">
      <c r="A12" s="128" t="str">
        <f>HYPERLINK("https://github.com/pytorch/pytorch/blob/f99ab991dcd3719ee25dd3377a53ea12e518308e/test/distributed/test_c10d_common.py#L87", "AbstractTimeoutTest")</f>
        <v>AbstractTimeoutTest</v>
      </c>
      <c r="B12" s="128" t="s">
        <v>1290</v>
      </c>
      <c r="C12" s="129" t="s">
        <v>1301</v>
      </c>
      <c r="D12" s="129" t="s">
        <v>64</v>
      </c>
      <c r="E12" s="130" t="b">
        <v>0</v>
      </c>
      <c r="F12" s="129"/>
    </row>
    <row r="13">
      <c r="A13" s="131" t="str">
        <f>HYPERLINK("https://github.com/pytorch/pytorch/blob/f99ab991dcd3719ee25dd3377a53ea12e518308e/test/distributed/test_c10d_common.py#L344", "CommonDistributedDataParallelTest")</f>
        <v>CommonDistributedDataParallelTest</v>
      </c>
      <c r="B13" s="131" t="s">
        <v>1290</v>
      </c>
      <c r="C13" s="1" t="s">
        <v>1302</v>
      </c>
      <c r="D13" s="1" t="s">
        <v>1303</v>
      </c>
      <c r="E13" s="132" t="b">
        <v>1</v>
      </c>
      <c r="F13" s="1"/>
    </row>
    <row r="14">
      <c r="A14" s="128" t="str">
        <f>HYPERLINK("https://github.com/pytorch/pytorch/blob/f99ab991dcd3719ee25dd3377a53ea12e518308e/test/distributed/test_c10d_common.py#L1128", "AbstractCommTest")</f>
        <v>AbstractCommTest</v>
      </c>
      <c r="B14" s="128" t="s">
        <v>1290</v>
      </c>
      <c r="C14" s="129" t="s">
        <v>1304</v>
      </c>
      <c r="D14" s="129" t="s">
        <v>64</v>
      </c>
      <c r="E14" s="130" t="b">
        <v>0</v>
      </c>
      <c r="F14" s="129"/>
    </row>
    <row r="15">
      <c r="A15" s="128" t="str">
        <f>HYPERLINK("https://github.com/pytorch/pytorch/blob/f99ab991dcd3719ee25dd3377a53ea12e518308e/test/distributed/test_c10d_common.py#L1407", "AbstractLargeCommTest")</f>
        <v>AbstractLargeCommTest</v>
      </c>
      <c r="B15" s="128" t="s">
        <v>1290</v>
      </c>
      <c r="C15" s="129" t="s">
        <v>1305</v>
      </c>
      <c r="D15" s="129" t="s">
        <v>64</v>
      </c>
      <c r="E15" s="130" t="b">
        <v>0</v>
      </c>
      <c r="F15" s="129"/>
    </row>
    <row r="16">
      <c r="A16" s="112" t="s">
        <v>1306</v>
      </c>
      <c r="B16" s="113"/>
      <c r="C16" s="113"/>
      <c r="D16" s="114"/>
      <c r="E16" s="115" t="b">
        <v>1</v>
      </c>
      <c r="F16" s="116"/>
    </row>
    <row r="17">
      <c r="A17" s="120" t="str">
        <f>HYPERLINK("https://github.com/pytorch/pytorch/blob/f99ab991dcd3719ee25dd3377a53ea12e518308e/test/distributed/test_c10d_functional_native.py#L63", "TestWithNCCL")</f>
        <v>TestWithNCCL</v>
      </c>
      <c r="B17" s="25" t="s">
        <v>1307</v>
      </c>
      <c r="C17" s="25" t="s">
        <v>1308</v>
      </c>
      <c r="D17" s="25" t="s">
        <v>1309</v>
      </c>
      <c r="E17" s="121" t="b">
        <f>IF(E16=TRUE,TRUE,FALSE)</f>
        <v>1</v>
      </c>
      <c r="F17" s="119" t="s">
        <v>1295</v>
      </c>
    </row>
    <row r="18">
      <c r="A18" s="117" t="str">
        <f>HYPERLINK("https://github.com/pytorch/pytorch/blob/f99ab991dcd3719ee25dd3377a53ea12e518308e/test/distributed/test_c10d_functional_native.py#L711", "CrossThreadWaitTest")</f>
        <v>CrossThreadWaitTest</v>
      </c>
      <c r="B18" s="30" t="s">
        <v>1307</v>
      </c>
      <c r="C18" s="30" t="s">
        <v>1310</v>
      </c>
      <c r="D18" s="30" t="s">
        <v>64</v>
      </c>
      <c r="E18" s="118" t="b">
        <v>1</v>
      </c>
      <c r="F18" s="119" t="s">
        <v>1295</v>
      </c>
    </row>
    <row r="19">
      <c r="A19" s="120" t="str">
        <f>HYPERLINK("https://github.com/pytorch/pytorch/blob/f99ab991dcd3719ee25dd3377a53ea12e518308e/test/distributed/test_c10d_functional_native.py#L765", "PyWorkTest")</f>
        <v>PyWorkTest</v>
      </c>
      <c r="B19" s="25" t="s">
        <v>1307</v>
      </c>
      <c r="C19" s="25" t="s">
        <v>1311</v>
      </c>
      <c r="D19" s="25" t="s">
        <v>64</v>
      </c>
      <c r="E19" s="121" t="b">
        <f>IF(E16=TRUE,TRUE,FALSE)</f>
        <v>1</v>
      </c>
      <c r="F19" s="119" t="s">
        <v>1295</v>
      </c>
    </row>
    <row r="20">
      <c r="A20" s="117" t="str">
        <f>HYPERLINK("https://github.com/pytorch/pytorch/blob/f99ab991dcd3719ee25dd3377a53ea12e518308e/test/distributed/test_c10d_functional_native.py#L839", "CompileTestCPU")</f>
        <v>CompileTestCPU</v>
      </c>
      <c r="B20" s="30" t="s">
        <v>1307</v>
      </c>
      <c r="C20" s="30" t="s">
        <v>1312</v>
      </c>
      <c r="D20" s="30" t="s">
        <v>1313</v>
      </c>
      <c r="E20" s="118" t="b">
        <f>IF(E16=TRUE,TRUE,FALSE)</f>
        <v>1</v>
      </c>
      <c r="F20" s="119" t="s">
        <v>1295</v>
      </c>
    </row>
    <row r="21">
      <c r="A21" s="120" t="str">
        <f>HYPERLINK("https://github.com/pytorch/pytorch/blob/f99ab991dcd3719ee25dd3377a53ea12e518308e/test/distributed/test_c10d_functional_native.py#L894", "CompileTest")</f>
        <v>CompileTest</v>
      </c>
      <c r="B21" s="25" t="s">
        <v>1307</v>
      </c>
      <c r="C21" s="25" t="s">
        <v>1314</v>
      </c>
      <c r="D21" s="25" t="s">
        <v>1315</v>
      </c>
      <c r="E21" s="121" t="b">
        <f>IF(E16=TRUE,TRUE,FALSE)</f>
        <v>1</v>
      </c>
      <c r="F21" s="119" t="s">
        <v>1295</v>
      </c>
    </row>
    <row r="22">
      <c r="A22" s="112" t="s">
        <v>1316</v>
      </c>
      <c r="B22" s="113"/>
      <c r="C22" s="113"/>
      <c r="D22" s="114"/>
      <c r="E22" s="115" t="b">
        <v>1</v>
      </c>
      <c r="F22" s="116"/>
    </row>
    <row r="23">
      <c r="A23" s="122" t="str">
        <f>HYPERLINK("https://github.com/pytorch/pytorch/blob/f99ab991dcd3719ee25dd3377a53ea12e518308e/test/distributed/test_c10d_gloo.py#L223", "RendezvousTCPTest")</f>
        <v>RendezvousTCPTest</v>
      </c>
      <c r="B23" s="91" t="s">
        <v>1317</v>
      </c>
      <c r="C23" s="91" t="s">
        <v>1318</v>
      </c>
      <c r="D23" s="91" t="s">
        <v>64</v>
      </c>
      <c r="E23" s="123" t="b">
        <v>0</v>
      </c>
      <c r="F23" s="124"/>
    </row>
    <row r="24">
      <c r="A24" s="122" t="str">
        <f>HYPERLINK("https://github.com/pytorch/pytorch/blob/f99ab991dcd3719ee25dd3377a53ea12e518308e/test/distributed/test_c10d_gloo.py#L234", "RendezvousEnvTest")</f>
        <v>RendezvousEnvTest</v>
      </c>
      <c r="B24" s="91" t="s">
        <v>1317</v>
      </c>
      <c r="C24" s="91" t="s">
        <v>1319</v>
      </c>
      <c r="D24" s="91" t="s">
        <v>64</v>
      </c>
      <c r="E24" s="123" t="b">
        <v>0</v>
      </c>
      <c r="F24" s="124"/>
    </row>
    <row r="25">
      <c r="A25" s="122" t="str">
        <f>HYPERLINK("https://github.com/pytorch/pytorch/blob/f99ab991dcd3719ee25dd3377a53ea12e518308e/test/distributed/test_c10d_gloo.py#L255", "TimeoutTest")</f>
        <v>TimeoutTest</v>
      </c>
      <c r="B25" s="91" t="s">
        <v>1317</v>
      </c>
      <c r="C25" s="91" t="s">
        <v>1320</v>
      </c>
      <c r="D25" s="91" t="s">
        <v>64</v>
      </c>
      <c r="E25" s="123" t="b">
        <v>0</v>
      </c>
      <c r="F25" s="124"/>
    </row>
    <row r="26">
      <c r="A26" s="122" t="str">
        <f>HYPERLINK("https://github.com/pytorch/pytorch/blob/f99ab991dcd3719ee25dd3377a53ea12e518308e/test/distributed/test_c10d_gloo.py#L262", "ProcessGroupGlooTest")</f>
        <v>ProcessGroupGlooTest</v>
      </c>
      <c r="B26" s="91" t="s">
        <v>1317</v>
      </c>
      <c r="C26" s="91" t="s">
        <v>1321</v>
      </c>
      <c r="D26" s="91" t="s">
        <v>1322</v>
      </c>
      <c r="E26" s="123" t="b">
        <v>0</v>
      </c>
      <c r="F26" s="124"/>
    </row>
    <row r="27">
      <c r="A27" s="122" t="str">
        <f>HYPERLINK("https://github.com/pytorch/pytorch/blob/f99ab991dcd3719ee25dd3377a53ea12e518308e/test/distributed/test_c10d_gloo.py#L2494", "ReducerTest")</f>
        <v>ReducerTest</v>
      </c>
      <c r="B27" s="91" t="s">
        <v>1317</v>
      </c>
      <c r="C27" s="91" t="s">
        <v>1323</v>
      </c>
      <c r="D27" s="91" t="s">
        <v>1294</v>
      </c>
      <c r="E27" s="123" t="b">
        <v>0</v>
      </c>
      <c r="F27" s="124"/>
    </row>
    <row r="28">
      <c r="A28" s="122" t="str">
        <f>HYPERLINK("https://github.com/pytorch/pytorch/blob/f99ab991dcd3719ee25dd3377a53ea12e518308e/test/distributed/test_c10d_gloo.py#L2763", "CommTest")</f>
        <v>CommTest</v>
      </c>
      <c r="B28" s="91" t="s">
        <v>1317</v>
      </c>
      <c r="C28" s="91" t="s">
        <v>1324</v>
      </c>
      <c r="D28" s="91" t="s">
        <v>1325</v>
      </c>
      <c r="E28" s="123" t="b">
        <v>0</v>
      </c>
      <c r="F28" s="124"/>
    </row>
    <row r="29">
      <c r="A29" s="122" t="str">
        <f>HYPERLINK("https://github.com/pytorch/pytorch/blob/f99ab991dcd3719ee25dd3377a53ea12e518308e/test/distributed/test_c10d_gloo.py#L2927", "LargeCommTest")</f>
        <v>LargeCommTest</v>
      </c>
      <c r="B29" s="91" t="s">
        <v>1317</v>
      </c>
      <c r="C29" s="91" t="s">
        <v>1326</v>
      </c>
      <c r="D29" s="91" t="s">
        <v>1294</v>
      </c>
      <c r="E29" s="123" t="b">
        <v>0</v>
      </c>
      <c r="F29" s="124"/>
    </row>
    <row r="30">
      <c r="A30" s="128" t="str">
        <f>HYPERLINK("https://github.com/pytorch/pytorch/blob/f99ab991dcd3719ee25dd3377a53ea12e518308e/test/distributed/test_c10d_gloo.py#L1795", "DistributedDataParallelTest")</f>
        <v>DistributedDataParallelTest</v>
      </c>
      <c r="B30" s="128" t="s">
        <v>1317</v>
      </c>
      <c r="C30" s="129" t="s">
        <v>1327</v>
      </c>
      <c r="D30" s="129" t="s">
        <v>1322</v>
      </c>
      <c r="E30" s="130" t="b">
        <v>0</v>
      </c>
      <c r="F30" s="129"/>
    </row>
    <row r="31">
      <c r="A31" s="128" t="str">
        <f>HYPERLINK("https://github.com/pytorch/pytorch/blob/f99ab991dcd3719ee25dd3377a53ea12e518308e/test/distributed/test_c10d_gloo.py#L2635", "ProcessGroupGlooLazyInitTest")</f>
        <v>ProcessGroupGlooLazyInitTest</v>
      </c>
      <c r="B31" s="128" t="s">
        <v>1317</v>
      </c>
      <c r="C31" s="129" t="s">
        <v>1328</v>
      </c>
      <c r="D31" s="129" t="s">
        <v>1294</v>
      </c>
      <c r="E31" s="130" t="b">
        <v>0</v>
      </c>
      <c r="F31" s="129"/>
    </row>
    <row r="32">
      <c r="A32" s="128" t="str">
        <f>HYPERLINK("https://github.com/pytorch/pytorch/blob/f99ab991dcd3719ee25dd3377a53ea12e518308e/test/distributed/test_c10d_gloo.py#L2647", "ProcessGroupGlooFRTest")</f>
        <v>ProcessGroupGlooFRTest</v>
      </c>
      <c r="B32" s="128" t="s">
        <v>1317</v>
      </c>
      <c r="C32" s="129" t="s">
        <v>1329</v>
      </c>
      <c r="D32" s="129" t="s">
        <v>1330</v>
      </c>
      <c r="E32" s="130" t="b">
        <v>0</v>
      </c>
      <c r="F32" s="129"/>
    </row>
    <row r="33">
      <c r="A33" s="128" t="str">
        <f>HYPERLINK("https://github.com/pytorch/pytorch/blob/f99ab991dcd3719ee25dd3377a53ea12e518308e/test/distributed/test_c10d_gloo.py#L2886", "GlooProcessGroupWithDispatchedCollectivesTests")</f>
        <v>GlooProcessGroupWithDispatchedCollectivesTests</v>
      </c>
      <c r="B33" s="128" t="s">
        <v>1317</v>
      </c>
      <c r="C33" s="129" t="s">
        <v>1331</v>
      </c>
      <c r="D33" s="129" t="s">
        <v>1294</v>
      </c>
      <c r="E33" s="130" t="b">
        <v>0</v>
      </c>
      <c r="F33" s="129"/>
    </row>
    <row r="34">
      <c r="A34" s="112" t="s">
        <v>1332</v>
      </c>
      <c r="B34" s="113"/>
      <c r="C34" s="113"/>
      <c r="D34" s="114"/>
      <c r="E34" s="115" t="b">
        <v>1</v>
      </c>
      <c r="F34" s="116"/>
    </row>
    <row r="35">
      <c r="A35" s="122" t="str">
        <f>HYPERLINK("https://github.com/pytorch/pytorch/blob/f99ab991dcd3719ee25dd3377a53ea12e518308e/test/distributed/test_c10d_nccl.py#L145", "RendezvousEnvTest")</f>
        <v>RendezvousEnvTest</v>
      </c>
      <c r="B35" s="91" t="s">
        <v>1333</v>
      </c>
      <c r="C35" s="91" t="s">
        <v>1334</v>
      </c>
      <c r="D35" s="91" t="s">
        <v>1335</v>
      </c>
      <c r="E35" s="123" t="b">
        <v>0</v>
      </c>
      <c r="F35" s="124"/>
    </row>
    <row r="36">
      <c r="A36" s="122" t="str">
        <f>HYPERLINK("https://github.com/pytorch/pytorch/blob/f99ab991dcd3719ee25dd3377a53ea12e518308e/test/distributed/test_c10d_nccl.py#L245", "TimeoutTest")</f>
        <v>TimeoutTest</v>
      </c>
      <c r="B36" s="91" t="s">
        <v>1333</v>
      </c>
      <c r="C36" s="91" t="s">
        <v>1336</v>
      </c>
      <c r="D36" s="91" t="s">
        <v>1335</v>
      </c>
      <c r="E36" s="123" t="b">
        <v>0</v>
      </c>
      <c r="F36" s="124"/>
    </row>
    <row r="37">
      <c r="A37" s="122" t="str">
        <f>HYPERLINK("https://github.com/pytorch/pytorch/blob/f99ab991dcd3719ee25dd3377a53ea12e518308e/test/distributed/test_c10d_nccl.py#L253", "ProcessGroupNCCLNoGPUTest")</f>
        <v>ProcessGroupNCCLNoGPUTest</v>
      </c>
      <c r="B37" s="91" t="s">
        <v>1333</v>
      </c>
      <c r="C37" s="91" t="s">
        <v>1337</v>
      </c>
      <c r="D37" s="91" t="s">
        <v>1338</v>
      </c>
      <c r="E37" s="123" t="b">
        <v>0</v>
      </c>
      <c r="F37" s="124"/>
    </row>
    <row r="38">
      <c r="A38" s="122" t="str">
        <f>HYPERLINK("https://github.com/pytorch/pytorch/blob/f99ab991dcd3719ee25dd3377a53ea12e518308e/test/distributed/test_c10d_nccl.py#L276", "ProcessGroupNCCLInitTest")</f>
        <v>ProcessGroupNCCLInitTest</v>
      </c>
      <c r="B38" s="91" t="s">
        <v>1333</v>
      </c>
      <c r="C38" s="91" t="s">
        <v>1339</v>
      </c>
      <c r="D38" s="91" t="s">
        <v>1340</v>
      </c>
      <c r="E38" s="123" t="b">
        <v>0</v>
      </c>
      <c r="F38" s="124"/>
    </row>
    <row r="39">
      <c r="A39" s="122" t="str">
        <f>HYPERLINK("https://github.com/pytorch/pytorch/blob/f99ab991dcd3719ee25dd3377a53ea12e518308e/test/distributed/test_c10d_nccl.py#L327", "ProcessGroupNCCLGroupTest")</f>
        <v>ProcessGroupNCCLGroupTest</v>
      </c>
      <c r="B39" s="91" t="s">
        <v>1333</v>
      </c>
      <c r="C39" s="91" t="s">
        <v>1341</v>
      </c>
      <c r="D39" s="91" t="s">
        <v>1335</v>
      </c>
      <c r="E39" s="123" t="b">
        <v>0</v>
      </c>
      <c r="F39" s="124"/>
    </row>
    <row r="40">
      <c r="A40" s="122" t="str">
        <f>HYPERLINK("https://github.com/pytorch/pytorch/blob/f99ab991dcd3719ee25dd3377a53ea12e518308e/test/distributed/test_c10d_nccl.py#L3653", "WorkHookTest")</f>
        <v>WorkHookTest</v>
      </c>
      <c r="B40" s="91" t="s">
        <v>1333</v>
      </c>
      <c r="C40" s="91" t="s">
        <v>1342</v>
      </c>
      <c r="D40" s="91" t="s">
        <v>1343</v>
      </c>
      <c r="E40" s="123" t="b">
        <v>0</v>
      </c>
      <c r="F40" s="124"/>
    </row>
    <row r="41">
      <c r="A41" s="122" t="str">
        <f>HYPERLINK("https://github.com/pytorch/pytorch/blob/f99ab991dcd3719ee25dd3377a53ea12e518308e/test/distributed/test_c10d_nccl.py#L3872", "NcclErrorHandlingTest")</f>
        <v>NcclErrorHandlingTest</v>
      </c>
      <c r="B41" s="91" t="s">
        <v>1333</v>
      </c>
      <c r="C41" s="91" t="s">
        <v>1344</v>
      </c>
      <c r="D41" s="91" t="s">
        <v>1345</v>
      </c>
      <c r="E41" s="123" t="b">
        <v>0</v>
      </c>
      <c r="F41" s="124"/>
    </row>
    <row r="42">
      <c r="A42" s="122" t="str">
        <f>HYPERLINK("https://github.com/pytorch/pytorch/blob/f99ab991dcd3719ee25dd3377a53ea12e518308e/test/distributed/test_c10d_nccl.py#L4172", "NcclUserBufferRegistrationTest")</f>
        <v>NcclUserBufferRegistrationTest</v>
      </c>
      <c r="B42" s="91" t="s">
        <v>1333</v>
      </c>
      <c r="C42" s="91" t="s">
        <v>1346</v>
      </c>
      <c r="D42" s="91" t="s">
        <v>1347</v>
      </c>
      <c r="E42" s="123" t="b">
        <v>0</v>
      </c>
      <c r="F42" s="124"/>
    </row>
    <row r="43">
      <c r="A43" s="122" t="str">
        <f>HYPERLINK("https://github.com/pytorch/pytorch/blob/f99ab991dcd3719ee25dd3377a53ea12e518308e/test/distributed/test_c10d_nccl.py#L4304", "CommTest")</f>
        <v>CommTest</v>
      </c>
      <c r="B43" s="91" t="s">
        <v>1333</v>
      </c>
      <c r="C43" s="91" t="s">
        <v>1348</v>
      </c>
      <c r="D43" s="91" t="s">
        <v>1349</v>
      </c>
      <c r="E43" s="123" t="b">
        <v>0</v>
      </c>
      <c r="F43" s="124"/>
    </row>
    <row r="44">
      <c r="A44" s="122" t="str">
        <f>HYPERLINK("https://github.com/pytorch/pytorch/blob/f99ab991dcd3719ee25dd3377a53ea12e518308e/test/distributed/test_c10d_nccl.py#L4859", "LargeCommTest")</f>
        <v>LargeCommTest</v>
      </c>
      <c r="B44" s="91" t="s">
        <v>1333</v>
      </c>
      <c r="C44" s="91" t="s">
        <v>1350</v>
      </c>
      <c r="D44" s="91" t="s">
        <v>1351</v>
      </c>
      <c r="E44" s="123" t="b">
        <v>0</v>
      </c>
      <c r="F44" s="124"/>
    </row>
    <row r="45">
      <c r="A45" s="122" t="str">
        <f>HYPERLINK("https://github.com/pytorch/pytorch/blob/f99ab991dcd3719ee25dd3377a53ea12e518308e/test/distributed/test_c10d_nccl.py#L5354", "ProcessGroupNCCLOneRankTest")</f>
        <v>ProcessGroupNCCLOneRankTest</v>
      </c>
      <c r="B45" s="91" t="s">
        <v>1333</v>
      </c>
      <c r="C45" s="91" t="s">
        <v>1352</v>
      </c>
      <c r="D45" s="91" t="s">
        <v>1335</v>
      </c>
      <c r="E45" s="123" t="b">
        <v>0</v>
      </c>
      <c r="F45" s="124"/>
    </row>
    <row r="46">
      <c r="A46" s="122" t="str">
        <f>HYPERLINK("https://github.com/pytorch/pytorch/blob/f99ab991dcd3719ee25dd3377a53ea12e518308e/test/distributed/test_c10d_nccl.py#L5428", "NCCLTraceTestBase")</f>
        <v>NCCLTraceTestBase</v>
      </c>
      <c r="B46" s="91" t="s">
        <v>1333</v>
      </c>
      <c r="C46" s="91" t="s">
        <v>1353</v>
      </c>
      <c r="D46" s="91" t="s">
        <v>1354</v>
      </c>
      <c r="E46" s="123" t="b">
        <v>0</v>
      </c>
      <c r="F46" s="124"/>
    </row>
    <row r="47">
      <c r="A47" s="122" t="str">
        <f>HYPERLINK("https://github.com/pytorch/pytorch/blob/f99ab991dcd3719ee25dd3377a53ea12e518308e/test/distributed/test_c10d_nccl.py#L5516", "NCCLTraceTest")</f>
        <v>NCCLTraceTest</v>
      </c>
      <c r="B47" s="91" t="s">
        <v>1333</v>
      </c>
      <c r="C47" s="91" t="s">
        <v>1355</v>
      </c>
      <c r="D47" s="91" t="s">
        <v>1356</v>
      </c>
      <c r="E47" s="123" t="b">
        <v>0</v>
      </c>
      <c r="F47" s="124"/>
    </row>
    <row r="48">
      <c r="A48" s="122" t="str">
        <f>HYPERLINK("https://github.com/pytorch/pytorch/blob/f99ab991dcd3719ee25dd3377a53ea12e518308e/test/distributed/test_c10d_nccl.py#L6439", "NCCLTraceTestDumpOnTimeoutBase")</f>
        <v>NCCLTraceTestDumpOnTimeoutBase</v>
      </c>
      <c r="B48" s="91" t="s">
        <v>1333</v>
      </c>
      <c r="C48" s="91" t="s">
        <v>1357</v>
      </c>
      <c r="D48" s="91" t="s">
        <v>1358</v>
      </c>
      <c r="E48" s="123" t="b">
        <v>0</v>
      </c>
      <c r="F48" s="124"/>
    </row>
    <row r="49">
      <c r="A49" s="122" t="str">
        <f>HYPERLINK("https://github.com/pytorch/pytorch/blob/f99ab991dcd3719ee25dd3377a53ea12e518308e/test/distributed/test_c10d_nccl.py#L6576", "NcclErrorDumpTest")</f>
        <v>NcclErrorDumpTest</v>
      </c>
      <c r="B49" s="91" t="s">
        <v>1333</v>
      </c>
      <c r="C49" s="91" t="s">
        <v>1359</v>
      </c>
      <c r="D49" s="91" t="s">
        <v>1345</v>
      </c>
      <c r="E49" s="123" t="b">
        <v>0</v>
      </c>
      <c r="F49" s="124"/>
    </row>
    <row r="50">
      <c r="A50" s="122" t="str">
        <f>HYPERLINK("https://github.com/pytorch/pytorch/blob/f99ab991dcd3719ee25dd3377a53ea12e518308e/test/distributed/test_c10d_nccl.py#L6632", "ProcessGroupNCCLLargerScaleTest")</f>
        <v>ProcessGroupNCCLLargerScaleTest</v>
      </c>
      <c r="B50" s="91" t="s">
        <v>1333</v>
      </c>
      <c r="C50" s="91" t="s">
        <v>1360</v>
      </c>
      <c r="D50" s="91" t="s">
        <v>1361</v>
      </c>
      <c r="E50" s="123" t="b">
        <v>0</v>
      </c>
      <c r="F50" s="124"/>
    </row>
    <row r="51">
      <c r="A51" s="128" t="str">
        <f>HYPERLINK("https://github.com/pytorch/pytorch/blob/f99ab991dcd3719ee25dd3377a53ea12e518308e/test/distributed/test_c10d_nccl.py#L1979", "DistributedDataParallelTest")</f>
        <v>DistributedDataParallelTest</v>
      </c>
      <c r="B51" s="128" t="s">
        <v>1333</v>
      </c>
      <c r="C51" s="129" t="s">
        <v>1362</v>
      </c>
      <c r="D51" s="129" t="s">
        <v>1335</v>
      </c>
      <c r="E51" s="130" t="b">
        <v>0</v>
      </c>
      <c r="F51" s="129"/>
    </row>
    <row r="52">
      <c r="A52" s="128" t="str">
        <f>HYPERLINK("https://github.com/pytorch/pytorch/blob/f99ab991dcd3719ee25dd3377a53ea12e518308e/test/distributed/test_c10d_nccl.py#L4799", "NcclProcessGroupWithDispatchedCollectivesTests")</f>
        <v>NcclProcessGroupWithDispatchedCollectivesTests</v>
      </c>
      <c r="B52" s="128" t="s">
        <v>1333</v>
      </c>
      <c r="C52" s="129" t="s">
        <v>1363</v>
      </c>
      <c r="D52" s="129" t="s">
        <v>1364</v>
      </c>
      <c r="E52" s="130" t="b">
        <v>0</v>
      </c>
      <c r="F52" s="129"/>
    </row>
    <row r="53">
      <c r="A53" s="128" t="str">
        <f>HYPERLINK("https://github.com/pytorch/pytorch/blob/f99ab991dcd3719ee25dd3377a53ea12e518308e/test/distributed/test_c10d_ops_nccl.py#L47", "ProcessGroupNCCLOpTest")</f>
        <v>ProcessGroupNCCLOpTest</v>
      </c>
      <c r="B53" s="128" t="s">
        <v>1365</v>
      </c>
      <c r="C53" s="129" t="s">
        <v>1366</v>
      </c>
      <c r="D53" s="129" t="s">
        <v>1356</v>
      </c>
      <c r="E53" s="130" t="b">
        <v>0</v>
      </c>
      <c r="F53" s="129"/>
    </row>
    <row r="54">
      <c r="A54" s="112" t="s">
        <v>1367</v>
      </c>
      <c r="B54" s="113"/>
      <c r="C54" s="113"/>
      <c r="D54" s="114"/>
      <c r="E54" s="115" t="b">
        <v>1</v>
      </c>
      <c r="F54" s="116"/>
    </row>
    <row r="55">
      <c r="A55" s="122" t="str">
        <f>HYPERLINK("https://github.com/pytorch/pytorch/blob/f99ab991dcd3719ee25dd3377a53ea12e518308e/test/distributed/test_c10d_ucc.py#L117", "RendezvousEnvTest")</f>
        <v>RendezvousEnvTest</v>
      </c>
      <c r="B55" s="91" t="s">
        <v>1368</v>
      </c>
      <c r="C55" s="91" t="s">
        <v>1369</v>
      </c>
      <c r="D55" s="91" t="s">
        <v>64</v>
      </c>
      <c r="E55" s="123" t="b">
        <v>0</v>
      </c>
      <c r="F55" s="124"/>
    </row>
    <row r="56">
      <c r="A56" s="122" t="str">
        <f>HYPERLINK("https://github.com/pytorch/pytorch/blob/f99ab991dcd3719ee25dd3377a53ea12e518308e/test/distributed/test_c10d_ucc.py#L138", "TimeoutTest")</f>
        <v>TimeoutTest</v>
      </c>
      <c r="B56" s="91" t="s">
        <v>1368</v>
      </c>
      <c r="C56" s="91" t="s">
        <v>1370</v>
      </c>
      <c r="D56" s="91" t="s">
        <v>64</v>
      </c>
      <c r="E56" s="123" t="b">
        <v>0</v>
      </c>
      <c r="F56" s="124"/>
    </row>
    <row r="57">
      <c r="A57" s="122" t="str">
        <f>HYPERLINK("https://github.com/pytorch/pytorch/blob/f99ab991dcd3719ee25dd3377a53ea12e518308e/test/distributed/test_c10d_ucc.py#L145", "ProcessGroupUCCTest")</f>
        <v>ProcessGroupUCCTest</v>
      </c>
      <c r="B57" s="91" t="s">
        <v>1368</v>
      </c>
      <c r="C57" s="91" t="s">
        <v>1371</v>
      </c>
      <c r="D57" s="91" t="s">
        <v>1294</v>
      </c>
      <c r="E57" s="123" t="b">
        <v>0</v>
      </c>
      <c r="F57" s="124"/>
    </row>
    <row r="58">
      <c r="A58" s="122" t="str">
        <f>HYPERLINK("https://github.com/pytorch/pytorch/blob/f99ab991dcd3719ee25dd3377a53ea12e518308e/test/distributed/test_c10d_ucc.py#L993", "CommTest")</f>
        <v>CommTest</v>
      </c>
      <c r="B58" s="91" t="s">
        <v>1368</v>
      </c>
      <c r="C58" s="91" t="s">
        <v>1372</v>
      </c>
      <c r="D58" s="91" t="s">
        <v>1373</v>
      </c>
      <c r="E58" s="123" t="b">
        <v>0</v>
      </c>
      <c r="F58" s="124"/>
    </row>
    <row r="59">
      <c r="A59" s="128" t="str">
        <f>HYPERLINK("https://github.com/pytorch/pytorch/blob/f99ab991dcd3719ee25dd3377a53ea12e518308e/test/distributed/test_c10d_ucc.py#L357", "DistributedDataParallelTest")</f>
        <v>DistributedDataParallelTest</v>
      </c>
      <c r="B59" s="128" t="s">
        <v>1368</v>
      </c>
      <c r="C59" s="129" t="s">
        <v>1374</v>
      </c>
      <c r="D59" s="129" t="s">
        <v>1373</v>
      </c>
      <c r="E59" s="130" t="b">
        <v>0</v>
      </c>
      <c r="F59" s="129"/>
    </row>
    <row r="60">
      <c r="A60" s="128" t="str">
        <f>HYPERLINK("https://github.com/pytorch/pytorch/blob/f99ab991dcd3719ee25dd3377a53ea12e518308e/test/distributed/test_c10d_ucc.py#L1064", "UccProcessGroupWithDispatchedCollectivesTests")</f>
        <v>UccProcessGroupWithDispatchedCollectivesTests</v>
      </c>
      <c r="B60" s="128" t="s">
        <v>1368</v>
      </c>
      <c r="C60" s="129" t="s">
        <v>1375</v>
      </c>
      <c r="D60" s="129" t="s">
        <v>1373</v>
      </c>
      <c r="E60" s="130" t="b">
        <v>0</v>
      </c>
      <c r="F60" s="129"/>
    </row>
    <row r="61">
      <c r="A61" s="112" t="s">
        <v>1376</v>
      </c>
      <c r="B61" s="113"/>
      <c r="C61" s="113"/>
      <c r="D61" s="114"/>
      <c r="E61" s="115" t="b">
        <v>1</v>
      </c>
      <c r="F61" s="116"/>
    </row>
    <row r="62">
      <c r="A62" s="122" t="str">
        <f>HYPERLINK("https://github.com/pytorch/pytorch/blob/f99ab991dcd3719ee25dd3377a53ea12e518308e/test/distributed/test_c10d_object_collectives.py#L57", "TestObjectCollectives")</f>
        <v>TestObjectCollectives</v>
      </c>
      <c r="B62" s="91" t="s">
        <v>1377</v>
      </c>
      <c r="C62" s="91" t="s">
        <v>1378</v>
      </c>
      <c r="D62" s="91" t="s">
        <v>1379</v>
      </c>
      <c r="E62" s="123" t="b">
        <v>0</v>
      </c>
      <c r="F62" s="124"/>
    </row>
    <row r="63">
      <c r="A63" s="122" t="str">
        <f>HYPERLINK("https://github.com/pytorch/pytorch/blob/f99ab991dcd3719ee25dd3377a53ea12e518308e/test/distributed/test_c10d_pypg.py#L172", "TestDDPWithWorkSubclass")</f>
        <v>TestDDPWithWorkSubclass</v>
      </c>
      <c r="B63" s="91" t="s">
        <v>1380</v>
      </c>
      <c r="C63" s="91" t="s">
        <v>1381</v>
      </c>
      <c r="D63" s="91" t="s">
        <v>1294</v>
      </c>
      <c r="E63" s="123" t="b">
        <v>0</v>
      </c>
      <c r="F63" s="124"/>
    </row>
    <row r="64">
      <c r="A64" s="122" t="str">
        <f>HYPERLINK("https://github.com/pytorch/pytorch/blob/f99ab991dcd3719ee25dd3377a53ea12e518308e/test/distributed/test_c10d_pypg.py#L178", "TestDDPWithWorkWrapper")</f>
        <v>TestDDPWithWorkWrapper</v>
      </c>
      <c r="B64" s="91" t="s">
        <v>1380</v>
      </c>
      <c r="C64" s="91" t="s">
        <v>1382</v>
      </c>
      <c r="D64" s="91" t="s">
        <v>1294</v>
      </c>
      <c r="E64" s="123" t="b">
        <v>0</v>
      </c>
      <c r="F64" s="124"/>
    </row>
    <row r="65">
      <c r="A65" s="122" t="str">
        <f>HYPERLINK("https://github.com/pytorch/pytorch/blob/f99ab991dcd3719ee25dd3377a53ea12e518308e/test/distributed/test_c10d_pypg.py#L197", "TestPyProcessGroup")</f>
        <v>TestPyProcessGroup</v>
      </c>
      <c r="B65" s="91" t="s">
        <v>1380</v>
      </c>
      <c r="C65" s="91" t="s">
        <v>1383</v>
      </c>
      <c r="D65" s="91" t="s">
        <v>1384</v>
      </c>
      <c r="E65" s="123" t="b">
        <v>0</v>
      </c>
      <c r="F65" s="124"/>
    </row>
    <row r="66">
      <c r="A66" s="128" t="str">
        <f>HYPERLINK("https://github.com/pytorch/pytorch/blob/f99ab991dcd3719ee25dd3377a53ea12e518308e/test/distributed/test_processgroup_jit.py#L27", "TestProcessGroupCapsule")</f>
        <v>TestProcessGroupCapsule</v>
      </c>
      <c r="B66" s="128" t="s">
        <v>1385</v>
      </c>
      <c r="C66" s="129" t="s">
        <v>1386</v>
      </c>
      <c r="D66" s="129" t="s">
        <v>64</v>
      </c>
      <c r="E66" s="130" t="b">
        <v>0</v>
      </c>
      <c r="F66" s="129"/>
    </row>
    <row r="67">
      <c r="A67" s="112" t="s">
        <v>1387</v>
      </c>
      <c r="B67" s="113"/>
      <c r="C67" s="113"/>
      <c r="D67" s="114"/>
      <c r="E67" s="115" t="b">
        <v>1</v>
      </c>
      <c r="F67" s="116"/>
    </row>
    <row r="68">
      <c r="A68" s="122" t="str">
        <f>HYPERLINK("https://github.com/pytorch/pytorch/blob/f99ab991dcd3719ee25dd3377a53ea12e518308e/test/distributed/test_c10d_spawn.py#L100", "TestDistributedNNFunctions")</f>
        <v>TestDistributedNNFunctions</v>
      </c>
      <c r="B68" s="91" t="s">
        <v>1388</v>
      </c>
      <c r="C68" s="91" t="s">
        <v>1389</v>
      </c>
      <c r="D68" s="91" t="s">
        <v>1390</v>
      </c>
      <c r="E68" s="123" t="b">
        <v>0</v>
      </c>
      <c r="F68" s="124"/>
    </row>
    <row r="69">
      <c r="A69" s="122" t="str">
        <f>HYPERLINK("https://github.com/pytorch/pytorch/blob/f99ab991dcd3719ee25dd3377a53ea12e518308e/test/distributed/test_c10d_spawn_gloo.py#L25", "DistributedDataParallelSingleProcessTest")</f>
        <v>DistributedDataParallelSingleProcessTest</v>
      </c>
      <c r="B69" s="91" t="s">
        <v>1391</v>
      </c>
      <c r="C69" s="91" t="s">
        <v>1392</v>
      </c>
      <c r="D69" s="91" t="s">
        <v>1393</v>
      </c>
      <c r="E69" s="123" t="b">
        <v>0</v>
      </c>
      <c r="F69" s="124"/>
    </row>
    <row r="70">
      <c r="A70" s="128" t="str">
        <f>HYPERLINK("https://github.com/pytorch/pytorch/blob/f99ab991dcd3719ee25dd3377a53ea12e518308e/test/distributed/test_c10d_spawn.py#L31", "AbstractProcessGroupShareTensorTest")</f>
        <v>AbstractProcessGroupShareTensorTest</v>
      </c>
      <c r="B70" s="128" t="s">
        <v>1388</v>
      </c>
      <c r="C70" s="129" t="s">
        <v>1394</v>
      </c>
      <c r="D70" s="129" t="s">
        <v>1390</v>
      </c>
      <c r="E70" s="130" t="b">
        <v>0</v>
      </c>
      <c r="F70" s="129"/>
    </row>
    <row r="71">
      <c r="A71" s="112" t="s">
        <v>1395</v>
      </c>
      <c r="B71" s="113"/>
      <c r="C71" s="113"/>
      <c r="D71" s="114"/>
      <c r="E71" s="115" t="b">
        <v>1</v>
      </c>
      <c r="F71" s="116"/>
    </row>
    <row r="72">
      <c r="A72" s="122" t="str">
        <f>HYPERLINK("https://github.com/pytorch/pytorch/blob/f99ab991dcd3719ee25dd3377a53ea12e518308e/test/distributed/test_c10d_logger.py#L52", "C10dErrorLoggerTest")</f>
        <v>C10dErrorLoggerTest</v>
      </c>
      <c r="B72" s="91" t="s">
        <v>1396</v>
      </c>
      <c r="C72" s="91" t="s">
        <v>1397</v>
      </c>
      <c r="D72" s="91" t="s">
        <v>1398</v>
      </c>
      <c r="E72" s="123" t="b">
        <v>0</v>
      </c>
      <c r="F72" s="124"/>
    </row>
    <row r="73">
      <c r="A73" s="112" t="s">
        <v>1399</v>
      </c>
      <c r="B73" s="113"/>
      <c r="C73" s="113"/>
      <c r="D73" s="114"/>
      <c r="E73" s="115" t="b">
        <v>1</v>
      </c>
      <c r="F73" s="116"/>
    </row>
    <row r="74">
      <c r="A74" s="122" t="str">
        <f>HYPERLINK("https://github.com/pytorch/pytorch/blob/f99ab991dcd3719ee25dd3377a53ea12e518308e/test/distributed/test_store.py#L273", "FileStoreTest")</f>
        <v>FileStoreTest</v>
      </c>
      <c r="B74" s="91" t="s">
        <v>1400</v>
      </c>
      <c r="C74" s="91" t="s">
        <v>1401</v>
      </c>
      <c r="D74" s="91" t="s">
        <v>64</v>
      </c>
      <c r="E74" s="123" t="b">
        <v>0</v>
      </c>
      <c r="F74" s="124"/>
    </row>
    <row r="75">
      <c r="A75" s="122" t="str">
        <f>HYPERLINK("https://github.com/pytorch/pytorch/blob/f99ab991dcd3719ee25dd3377a53ea12e518308e/test/distributed/test_store.py#L320", "HashStoreTest")</f>
        <v>HashStoreTest</v>
      </c>
      <c r="B75" s="91" t="s">
        <v>1400</v>
      </c>
      <c r="C75" s="91" t="s">
        <v>1402</v>
      </c>
      <c r="D75" s="91" t="s">
        <v>64</v>
      </c>
      <c r="E75" s="123" t="b">
        <v>0</v>
      </c>
      <c r="F75" s="124"/>
    </row>
    <row r="76">
      <c r="A76" s="122" t="str">
        <f>HYPERLINK("https://github.com/pytorch/pytorch/blob/f99ab991dcd3719ee25dd3377a53ea12e518308e/test/distributed/test_store.py#L327", "PrefixStoreTest")</f>
        <v>PrefixStoreTest</v>
      </c>
      <c r="B76" s="91" t="s">
        <v>1400</v>
      </c>
      <c r="C76" s="91" t="s">
        <v>1403</v>
      </c>
      <c r="D76" s="91" t="s">
        <v>64</v>
      </c>
      <c r="E76" s="123" t="b">
        <v>0</v>
      </c>
      <c r="F76" s="124"/>
    </row>
    <row r="77">
      <c r="A77" s="122" t="str">
        <f>HYPERLINK("https://github.com/pytorch/pytorch/blob/f99ab991dcd3719ee25dd3377a53ea12e518308e/test/distributed/test_store.py#L350", "PrefixFileStoreTest")</f>
        <v>PrefixFileStoreTest</v>
      </c>
      <c r="B77" s="91" t="s">
        <v>1400</v>
      </c>
      <c r="C77" s="91" t="s">
        <v>1404</v>
      </c>
      <c r="D77" s="91" t="s">
        <v>64</v>
      </c>
      <c r="E77" s="123" t="b">
        <v>0</v>
      </c>
      <c r="F77" s="124"/>
    </row>
    <row r="78">
      <c r="A78" s="122" t="str">
        <f>HYPERLINK("https://github.com/pytorch/pytorch/blob/f99ab991dcd3719ee25dd3377a53ea12e518308e/test/distributed/test_store.py#L367", "TCPStoreTest")</f>
        <v>TCPStoreTest</v>
      </c>
      <c r="B78" s="91" t="s">
        <v>1400</v>
      </c>
      <c r="C78" s="91" t="s">
        <v>1405</v>
      </c>
      <c r="D78" s="91" t="s">
        <v>64</v>
      </c>
      <c r="E78" s="123" t="b">
        <v>0</v>
      </c>
      <c r="F78" s="124"/>
    </row>
    <row r="79">
      <c r="A79" s="122" t="str">
        <f>HYPERLINK("https://github.com/pytorch/pytorch/blob/f99ab991dcd3719ee25dd3377a53ea12e518308e/test/distributed/test_store.py#L660", "PrefixTCPStoreTest")</f>
        <v>PrefixTCPStoreTest</v>
      </c>
      <c r="B79" s="91" t="s">
        <v>1400</v>
      </c>
      <c r="C79" s="91" t="s">
        <v>1406</v>
      </c>
      <c r="D79" s="91" t="s">
        <v>64</v>
      </c>
      <c r="E79" s="123" t="b">
        <v>0</v>
      </c>
      <c r="F79" s="124"/>
    </row>
    <row r="80">
      <c r="A80" s="122" t="str">
        <f>HYPERLINK("https://github.com/pytorch/pytorch/blob/f99ab991dcd3719ee25dd3377a53ea12e518308e/test/distributed/test_store.py#L724", "PythonStoreTest")</f>
        <v>PythonStoreTest</v>
      </c>
      <c r="B80" s="91" t="s">
        <v>1400</v>
      </c>
      <c r="C80" s="91" t="s">
        <v>1407</v>
      </c>
      <c r="D80" s="91" t="s">
        <v>64</v>
      </c>
      <c r="E80" s="123" t="b">
        <v>0</v>
      </c>
      <c r="F80" s="124"/>
    </row>
    <row r="81">
      <c r="A81" s="122" t="str">
        <f>HYPERLINK("https://github.com/pytorch/pytorch/blob/f99ab991dcd3719ee25dd3377a53ea12e518308e/test/distributed/test_store.py#L736", "RendezvousTest")</f>
        <v>RendezvousTest</v>
      </c>
      <c r="B81" s="91" t="s">
        <v>1400</v>
      </c>
      <c r="C81" s="91" t="s">
        <v>1408</v>
      </c>
      <c r="D81" s="91" t="s">
        <v>64</v>
      </c>
      <c r="E81" s="123" t="b">
        <v>0</v>
      </c>
      <c r="F81" s="124"/>
    </row>
    <row r="82">
      <c r="A82" s="122" t="str">
        <f>HYPERLINK("https://github.com/pytorch/pytorch/blob/f99ab991dcd3719ee25dd3377a53ea12e518308e/test/distributed/test_store.py#L746", "RendezvousEnvTest")</f>
        <v>RendezvousEnvTest</v>
      </c>
      <c r="B82" s="91" t="s">
        <v>1400</v>
      </c>
      <c r="C82" s="91" t="s">
        <v>1409</v>
      </c>
      <c r="D82" s="91" t="s">
        <v>64</v>
      </c>
      <c r="E82" s="123" t="b">
        <v>0</v>
      </c>
      <c r="F82" s="124"/>
    </row>
    <row r="83">
      <c r="A83" s="122" t="str">
        <f>HYPERLINK("https://github.com/pytorch/pytorch/blob/f99ab991dcd3719ee25dd3377a53ea12e518308e/test/distributed/test_store.py#L766", "RendezvousFileTest")</f>
        <v>RendezvousFileTest</v>
      </c>
      <c r="B83" s="91" t="s">
        <v>1400</v>
      </c>
      <c r="C83" s="91" t="s">
        <v>1410</v>
      </c>
      <c r="D83" s="91" t="s">
        <v>64</v>
      </c>
      <c r="E83" s="123" t="b">
        <v>0</v>
      </c>
      <c r="F83" s="124"/>
    </row>
    <row r="84">
      <c r="A84" s="122" t="str">
        <f>HYPERLINK("https://github.com/pytorch/pytorch/blob/f99ab991dcd3719ee25dd3377a53ea12e518308e/test/distributed/test_store.py#L800", "RendezvousTCPTest")</f>
        <v>RendezvousTCPTest</v>
      </c>
      <c r="B84" s="91" t="s">
        <v>1400</v>
      </c>
      <c r="C84" s="91" t="s">
        <v>1411</v>
      </c>
      <c r="D84" s="91" t="s">
        <v>64</v>
      </c>
      <c r="E84" s="123" t="b">
        <v>0</v>
      </c>
      <c r="F84" s="124"/>
    </row>
    <row r="85">
      <c r="A85" s="122" t="str">
        <f>HYPERLINK("https://github.com/pytorch/pytorch/blob/f99ab991dcd3719ee25dd3377a53ea12e518308e/test/distributed/test_store.py#L913", "TestPythonStore")</f>
        <v>TestPythonStore</v>
      </c>
      <c r="B85" s="91" t="s">
        <v>1400</v>
      </c>
      <c r="C85" s="91" t="s">
        <v>1412</v>
      </c>
      <c r="D85" s="91" t="s">
        <v>64</v>
      </c>
      <c r="E85" s="123" t="b">
        <v>0</v>
      </c>
      <c r="F85" s="124"/>
    </row>
    <row r="86">
      <c r="A86" s="122" t="str">
        <f>HYPERLINK("https://github.com/pytorch/pytorch/blob/f99ab991dcd3719ee25dd3377a53ea12e518308e/test/distributed/test_store.py#L982", "TestMultiThreadedWait")</f>
        <v>TestMultiThreadedWait</v>
      </c>
      <c r="B86" s="91" t="s">
        <v>1400</v>
      </c>
      <c r="C86" s="91" t="s">
        <v>1413</v>
      </c>
      <c r="D86" s="91" t="s">
        <v>64</v>
      </c>
      <c r="E86" s="123" t="b">
        <v>0</v>
      </c>
      <c r="F86" s="124"/>
    </row>
    <row r="87">
      <c r="A87" s="122" t="str">
        <f>HYPERLINK("https://github.com/pytorch/pytorch/blob/f99ab991dcd3719ee25dd3377a53ea12e518308e/test/distributed/test_store.py#L1043", "TimeoutTest")</f>
        <v>TimeoutTest</v>
      </c>
      <c r="B87" s="91" t="s">
        <v>1400</v>
      </c>
      <c r="C87" s="91" t="s">
        <v>1414</v>
      </c>
      <c r="D87" s="91" t="s">
        <v>64</v>
      </c>
      <c r="E87" s="123" t="b">
        <v>0</v>
      </c>
      <c r="F87" s="124"/>
    </row>
    <row r="88">
      <c r="A88" s="122" t="str">
        <f>HYPERLINK("https://github.com/pytorch/pytorch/blob/f99ab991dcd3719ee25dd3377a53ea12e518308e/test/distributed/test_store.py#L1150", "TestClientProtocol")</f>
        <v>TestClientProtocol</v>
      </c>
      <c r="B88" s="91" t="s">
        <v>1400</v>
      </c>
      <c r="C88" s="91" t="s">
        <v>1415</v>
      </c>
      <c r="D88" s="91" t="s">
        <v>64</v>
      </c>
      <c r="E88" s="123" t="b">
        <v>0</v>
      </c>
      <c r="F88" s="124"/>
    </row>
    <row r="89">
      <c r="A89" s="128" t="str">
        <f>HYPERLINK("https://github.com/pytorch/pytorch/blob/f99ab991dcd3719ee25dd3377a53ea12e518308e/test/distributed/test_store.py#L76", "StoreTestBase")</f>
        <v>StoreTestBase</v>
      </c>
      <c r="B89" s="128" t="s">
        <v>1400</v>
      </c>
      <c r="C89" s="129" t="s">
        <v>1416</v>
      </c>
      <c r="D89" s="129" t="s">
        <v>64</v>
      </c>
      <c r="E89" s="130" t="b">
        <v>0</v>
      </c>
      <c r="F89" s="129"/>
    </row>
    <row r="90">
      <c r="A90" s="128" t="str">
        <f>HYPERLINK("https://github.com/pytorch/pytorch/blob/f99ab991dcd3719ee25dd3377a53ea12e518308e/test/distributed/test_store.py#L646", "LibUvTCPStoreTest")</f>
        <v>LibUvTCPStoreTest</v>
      </c>
      <c r="B90" s="128" t="s">
        <v>1400</v>
      </c>
      <c r="C90" s="129" t="s">
        <v>1417</v>
      </c>
      <c r="D90" s="129" t="s">
        <v>64</v>
      </c>
      <c r="E90" s="130" t="b">
        <v>0</v>
      </c>
      <c r="F90" s="129"/>
    </row>
    <row r="91">
      <c r="A91" s="128" t="str">
        <f>HYPERLINK("https://github.com/pytorch/pytorch/blob/f99ab991dcd3719ee25dd3377a53ea12e518308e/test/distributed/test_store.py#L1108", "InitPgWithNonUvStore")</f>
        <v>InitPgWithNonUvStore</v>
      </c>
      <c r="B91" s="128" t="s">
        <v>1400</v>
      </c>
      <c r="C91" s="129" t="s">
        <v>1418</v>
      </c>
      <c r="D91" s="129" t="s">
        <v>64</v>
      </c>
      <c r="E91" s="130" t="b">
        <v>0</v>
      </c>
      <c r="F91" s="129"/>
    </row>
    <row r="92">
      <c r="A92" s="112" t="s">
        <v>1419</v>
      </c>
      <c r="B92" s="113"/>
      <c r="C92" s="113"/>
      <c r="D92" s="114"/>
      <c r="E92" s="115" t="b">
        <v>1</v>
      </c>
      <c r="F92" s="116"/>
    </row>
    <row r="93">
      <c r="A93" s="120" t="str">
        <f>HYPERLINK("https://github.com/pytorch/pytorch/blob/f99ab991dcd3719ee25dd3377a53ea12e518308e/test/distributed/test_functional_api.py#L97", "TestExpand")</f>
        <v>TestExpand</v>
      </c>
      <c r="B93" s="25" t="s">
        <v>1420</v>
      </c>
      <c r="C93" s="25" t="s">
        <v>1421</v>
      </c>
      <c r="D93" s="25" t="s">
        <v>1294</v>
      </c>
      <c r="E93" s="121" t="b">
        <f>IF(E92=TRUE,TRUE,FALSE)</f>
        <v>1</v>
      </c>
      <c r="F93" s="133"/>
    </row>
    <row r="94">
      <c r="A94" s="117" t="str">
        <f>HYPERLINK("https://github.com/pytorch/pytorch/blob/f99ab991dcd3719ee25dd3377a53ea12e518308e/test/distributed/test_functional_api.py#L187", "TestPgTag")</f>
        <v>TestPgTag</v>
      </c>
      <c r="B94" s="30" t="s">
        <v>1420</v>
      </c>
      <c r="C94" s="30" t="s">
        <v>1422</v>
      </c>
      <c r="D94" s="30" t="s">
        <v>1294</v>
      </c>
      <c r="E94" s="118" t="b">
        <f>IF(E92=TRUE,TRUE,FALSE)</f>
        <v>1</v>
      </c>
      <c r="F94" s="134"/>
    </row>
    <row r="95">
      <c r="A95" s="120" t="str">
        <f>HYPERLINK("https://github.com/pytorch/pytorch/blob/f99ab991dcd3719ee25dd3377a53ea12e518308e/test/distributed/test_functional_api.py#L264", "TestTraceableCollectives")</f>
        <v>TestTraceableCollectives</v>
      </c>
      <c r="B95" s="25" t="s">
        <v>1420</v>
      </c>
      <c r="C95" s="25" t="s">
        <v>1423</v>
      </c>
      <c r="D95" s="25" t="s">
        <v>1424</v>
      </c>
      <c r="E95" s="121" t="b">
        <f>IF(E92=TRUE,TRUE,FALSE)</f>
        <v>1</v>
      </c>
      <c r="F95" s="133"/>
    </row>
    <row r="96">
      <c r="A96" s="117" t="str">
        <f>HYPERLINK("https://github.com/pytorch/pytorch/blob/f99ab991dcd3719ee25dd3377a53ea12e518308e/test/distributed/test_functional_api.py#L402", "TestMetaCollectives")</f>
        <v>TestMetaCollectives</v>
      </c>
      <c r="B96" s="30" t="s">
        <v>1420</v>
      </c>
      <c r="C96" s="30" t="s">
        <v>1425</v>
      </c>
      <c r="D96" s="30" t="s">
        <v>1426</v>
      </c>
      <c r="E96" s="118" t="b">
        <f>IF(E92=TRUE,TRUE,FALSE)</f>
        <v>1</v>
      </c>
      <c r="F96" s="134"/>
    </row>
    <row r="97">
      <c r="A97" s="120" t="str">
        <f>HYPERLINK("https://github.com/pytorch/pytorch/blob/f99ab991dcd3719ee25dd3377a53ea12e518308e/test/distributed/test_functional_api.py#L410", "TestGradCollectives")</f>
        <v>TestGradCollectives</v>
      </c>
      <c r="B97" s="25" t="s">
        <v>1420</v>
      </c>
      <c r="C97" s="25" t="s">
        <v>1427</v>
      </c>
      <c r="D97" s="25" t="s">
        <v>1294</v>
      </c>
      <c r="E97" s="121" t="b">
        <f>IF(E92=TRUE,TRUE,FALSE)</f>
        <v>1</v>
      </c>
      <c r="F97" s="133"/>
    </row>
    <row r="98">
      <c r="A98" s="117" t="str">
        <f>HYPERLINK("https://github.com/pytorch/pytorch/blob/f99ab991dcd3719ee25dd3377a53ea12e518308e/test/distributed/test_functional_api.py#L427", "TestMakeFx")</f>
        <v>TestMakeFx</v>
      </c>
      <c r="B98" s="30" t="s">
        <v>1420</v>
      </c>
      <c r="C98" s="30" t="s">
        <v>1428</v>
      </c>
      <c r="D98" s="30" t="s">
        <v>1429</v>
      </c>
      <c r="E98" s="118" t="b">
        <f>IF(E92=TRUE,TRUE,FALSE)</f>
        <v>1</v>
      </c>
      <c r="F98" s="134"/>
    </row>
    <row r="99">
      <c r="A99" s="120" t="str">
        <f>HYPERLINK("https://github.com/pytorch/pytorch/blob/f99ab991dcd3719ee25dd3377a53ea12e518308e/test/distributed/test_functional_api.py#L512", "TestCollectivesWithDistributedBackend")</f>
        <v>TestCollectivesWithDistributedBackend</v>
      </c>
      <c r="B99" s="25" t="s">
        <v>1420</v>
      </c>
      <c r="C99" s="25" t="s">
        <v>1430</v>
      </c>
      <c r="D99" s="25" t="s">
        <v>1431</v>
      </c>
      <c r="E99" s="121" t="b">
        <f>IF(E92=TRUE,TRUE,FALSE)</f>
        <v>1</v>
      </c>
      <c r="F99" s="133"/>
    </row>
    <row r="100">
      <c r="A100" s="117" t="str">
        <f>HYPERLINK("https://github.com/pytorch/pytorch/blob/f99ab991dcd3719ee25dd3377a53ea12e518308e/test/distributed/test_functional_api.py#L661", "TestFunctionalAutograd")</f>
        <v>TestFunctionalAutograd</v>
      </c>
      <c r="B100" s="30" t="s">
        <v>1420</v>
      </c>
      <c r="C100" s="30" t="s">
        <v>1432</v>
      </c>
      <c r="D100" s="30" t="s">
        <v>1294</v>
      </c>
      <c r="E100" s="118" t="b">
        <f>IF(E92=TRUE,TRUE,FALSE)</f>
        <v>1</v>
      </c>
      <c r="F100" s="134"/>
    </row>
    <row r="101">
      <c r="A101" s="120" t="str">
        <f>HYPERLINK("https://github.com/pytorch/pytorch/blob/f99ab991dcd3719ee25dd3377a53ea12e518308e/test/distributed/test_functional_api.py#L801", "TestFunctionalAutogradWithDistributedBackend")</f>
        <v>TestFunctionalAutogradWithDistributedBackend</v>
      </c>
      <c r="B101" s="25" t="s">
        <v>1420</v>
      </c>
      <c r="C101" s="25" t="s">
        <v>1433</v>
      </c>
      <c r="D101" s="25" t="s">
        <v>1431</v>
      </c>
      <c r="E101" s="121" t="b">
        <f>IF(E92=TRUE,TRUE,FALSE)</f>
        <v>1</v>
      </c>
      <c r="F101" s="133"/>
    </row>
    <row r="102">
      <c r="A102" s="117" t="str">
        <f>HYPERLINK("https://github.com/pytorch/pytorch/blob/f99ab991dcd3719ee25dd3377a53ea12e518308e/test/distributed/test_functional_differentials.py#L57", "TestFunctionalDifferentials")</f>
        <v>TestFunctionalDifferentials</v>
      </c>
      <c r="B102" s="30" t="s">
        <v>1434</v>
      </c>
      <c r="C102" s="30" t="s">
        <v>1435</v>
      </c>
      <c r="D102" s="30" t="s">
        <v>1436</v>
      </c>
      <c r="E102" s="118" t="b">
        <f>IF(E92=TRUE,TRUE,FALSE)</f>
        <v>1</v>
      </c>
      <c r="F102" s="134"/>
    </row>
    <row r="103">
      <c r="A103" s="120" t="str">
        <f>HYPERLINK("https://github.com/pytorch/pytorch/blob/f99ab991dcd3719ee25dd3377a53ea12e518308e/test/distributed/test_functional_differentials.py#L602", "TestFunctionalDifferentialsWithCompile")</f>
        <v>TestFunctionalDifferentialsWithCompile</v>
      </c>
      <c r="B103" s="25" t="s">
        <v>1434</v>
      </c>
      <c r="C103" s="25" t="s">
        <v>1437</v>
      </c>
      <c r="D103" s="25" t="s">
        <v>1438</v>
      </c>
      <c r="E103" s="121" t="b">
        <f>IF(E92=TRUE,TRUE,FALSE)</f>
        <v>1</v>
      </c>
      <c r="F103" s="133"/>
    </row>
    <row r="104">
      <c r="A104" s="135" t="str">
        <f>HYPERLINK("https://github.com/pytorch/pytorch/blob/f99ab991dcd3719ee25dd3377a53ea12e518308e/test/distributed/test_functional_api.py#L623", "TestDistributedBackendCollectivesWithWorldSize4")</f>
        <v>TestDistributedBackendCollectivesWithWorldSize4</v>
      </c>
      <c r="B104" s="135" t="s">
        <v>1420</v>
      </c>
      <c r="C104" s="1" t="s">
        <v>1439</v>
      </c>
      <c r="D104" s="1" t="s">
        <v>1431</v>
      </c>
      <c r="E104" s="136" t="b">
        <v>1</v>
      </c>
      <c r="F104" s="1"/>
    </row>
    <row r="105">
      <c r="A105" s="112" t="s">
        <v>1440</v>
      </c>
      <c r="B105" s="113"/>
      <c r="C105" s="113"/>
      <c r="D105" s="114"/>
      <c r="E105" s="115" t="b">
        <v>1</v>
      </c>
      <c r="F105" s="116"/>
    </row>
    <row r="106">
      <c r="A106" s="122" t="str">
        <f>HYPERLINK("https://github.com/pytorch/pytorch/blob/f99ab991dcd3719ee25dd3377a53ea12e518308e/test/distributed/test_control_collectives.py#L22", "TestCollectives")</f>
        <v>TestCollectives</v>
      </c>
      <c r="B106" s="91" t="s">
        <v>1441</v>
      </c>
      <c r="C106" s="91" t="s">
        <v>1442</v>
      </c>
      <c r="D106" s="91" t="s">
        <v>64</v>
      </c>
      <c r="E106" s="123" t="b">
        <v>0</v>
      </c>
      <c r="F106" s="124"/>
    </row>
    <row r="107">
      <c r="A107" s="122" t="str">
        <f>HYPERLINK("https://github.com/pytorch/pytorch/blob/f99ab991dcd3719ee25dd3377a53ea12e518308e/test/distributed/test_collective_utils.py#L29", "TestCollectiveUtils")</f>
        <v>TestCollectiveUtils</v>
      </c>
      <c r="B107" s="91" t="s">
        <v>1443</v>
      </c>
      <c r="C107" s="91" t="s">
        <v>1444</v>
      </c>
      <c r="D107" s="91" t="s">
        <v>1445</v>
      </c>
      <c r="E107" s="123" t="b">
        <v>0</v>
      </c>
      <c r="F107" s="124"/>
    </row>
    <row r="108">
      <c r="A108" s="122" t="str">
        <f>HYPERLINK("https://github.com/pytorch/pytorch/blob/f99ab991dcd3719ee25dd3377a53ea12e518308e/test/distributed/test_collective_utils.py#L177", "TestUtils")</f>
        <v>TestUtils</v>
      </c>
      <c r="B108" s="91" t="s">
        <v>1443</v>
      </c>
      <c r="C108" s="91" t="s">
        <v>1446</v>
      </c>
      <c r="D108" s="91" t="s">
        <v>1429</v>
      </c>
      <c r="E108" s="123" t="b">
        <v>0</v>
      </c>
      <c r="F108" s="124"/>
    </row>
    <row r="109">
      <c r="A109" s="122" t="str">
        <f>HYPERLINK("https://github.com/pytorch/pytorch/blob/f99ab991dcd3719ee25dd3377a53ea12e518308e/test/distributed/test_backends.py#L15", "TestMiscCollectiveUtils")</f>
        <v>TestMiscCollectiveUtils</v>
      </c>
      <c r="B109" s="91" t="s">
        <v>1447</v>
      </c>
      <c r="C109" s="91" t="s">
        <v>1448</v>
      </c>
      <c r="D109" s="91" t="s">
        <v>1449</v>
      </c>
      <c r="E109" s="123" t="b">
        <v>0</v>
      </c>
      <c r="F109" s="124"/>
    </row>
    <row r="110">
      <c r="A110" s="112" t="s">
        <v>1450</v>
      </c>
      <c r="B110" s="113"/>
      <c r="C110" s="113"/>
      <c r="D110" s="114"/>
      <c r="E110" s="115" t="b">
        <v>1</v>
      </c>
      <c r="F110" s="116"/>
    </row>
    <row r="111">
      <c r="A111" s="122" t="str">
        <f>HYPERLINK("https://github.com/pytorch/pytorch/blob/f99ab991dcd3719ee25dd3377a53ea12e518308e/test/distributed/test_multi_threaded_pg.py#L33", "TestCollectivesWithWrapper")</f>
        <v>TestCollectivesWithWrapper</v>
      </c>
      <c r="B111" s="91" t="s">
        <v>1451</v>
      </c>
      <c r="C111" s="91" t="s">
        <v>1452</v>
      </c>
      <c r="D111" s="91" t="s">
        <v>1294</v>
      </c>
      <c r="E111" s="123" t="b">
        <v>0</v>
      </c>
      <c r="F111" s="124"/>
    </row>
    <row r="112">
      <c r="A112" s="122" t="str">
        <f>HYPERLINK("https://github.com/pytorch/pytorch/blob/f99ab991dcd3719ee25dd3377a53ea12e518308e/test/distributed/test_multi_threaded_pg.py#L138", "TestCollectivesWithBaseClass")</f>
        <v>TestCollectivesWithBaseClass</v>
      </c>
      <c r="B112" s="91" t="s">
        <v>1451</v>
      </c>
      <c r="C112" s="91" t="s">
        <v>1453</v>
      </c>
      <c r="D112" s="91" t="s">
        <v>1454</v>
      </c>
      <c r="E112" s="123" t="b">
        <v>0</v>
      </c>
      <c r="F112" s="124"/>
    </row>
    <row r="113">
      <c r="A113" s="122" t="str">
        <f>HYPERLINK("https://github.com/pytorch/pytorch/blob/f99ab991dcd3719ee25dd3377a53ea12e518308e/test/distributed/test_fake_pg.py#L36", "TestFakePG")</f>
        <v>TestFakePG</v>
      </c>
      <c r="B113" s="91" t="s">
        <v>1455</v>
      </c>
      <c r="C113" s="91" t="s">
        <v>1456</v>
      </c>
      <c r="D113" s="91" t="s">
        <v>1457</v>
      </c>
      <c r="E113" s="123" t="b">
        <v>0</v>
      </c>
      <c r="F113" s="124"/>
    </row>
    <row r="114">
      <c r="A114" s="122" t="str">
        <f>HYPERLINK("https://github.com/pytorch/pytorch/blob/f99ab991dcd3719ee25dd3377a53ea12e518308e/test/distributed/test_pg_wrapper.py#L40", "AbstractProcessGroupWrapperTest")</f>
        <v>AbstractProcessGroupWrapperTest</v>
      </c>
      <c r="B114" s="91" t="s">
        <v>1458</v>
      </c>
      <c r="C114" s="91" t="s">
        <v>1459</v>
      </c>
      <c r="D114" s="91" t="s">
        <v>1460</v>
      </c>
      <c r="E114" s="123" t="b">
        <v>0</v>
      </c>
      <c r="F114" s="124"/>
    </row>
    <row r="115">
      <c r="A115" s="122" t="str">
        <f>HYPERLINK("https://github.com/pytorch/pytorch/blob/f99ab991dcd3719ee25dd3377a53ea12e518308e/test/distributed/test_nccl.py#L56", "TestNCCL")</f>
        <v>TestNCCL</v>
      </c>
      <c r="B115" s="91" t="s">
        <v>1461</v>
      </c>
      <c r="C115" s="91" t="s">
        <v>1462</v>
      </c>
      <c r="D115" s="91" t="s">
        <v>1463</v>
      </c>
      <c r="E115" s="123" t="b">
        <v>0</v>
      </c>
      <c r="F115" s="124"/>
    </row>
    <row r="116">
      <c r="A116" s="128" t="str">
        <f>HYPERLINK("https://github.com/pytorch/pytorch/blob/f99ab991dcd3719ee25dd3377a53ea12e518308e/test/distributed/test_pg_wrapper.py#L444", "ProcessGroupGlooWrapperTest")</f>
        <v>ProcessGroupGlooWrapperTest</v>
      </c>
      <c r="B116" s="128" t="s">
        <v>1458</v>
      </c>
      <c r="C116" s="129" t="s">
        <v>1464</v>
      </c>
      <c r="D116" s="129" t="s">
        <v>1465</v>
      </c>
      <c r="E116" s="130" t="b">
        <v>0</v>
      </c>
      <c r="F116" s="129"/>
    </row>
    <row r="117">
      <c r="A117" s="112" t="s">
        <v>1466</v>
      </c>
      <c r="B117" s="113"/>
      <c r="C117" s="113"/>
      <c r="D117" s="114"/>
      <c r="E117" s="115" t="b">
        <v>1</v>
      </c>
      <c r="F117" s="116"/>
    </row>
    <row r="118">
      <c r="A118" s="120" t="str">
        <f>HYPERLINK("https://github.com/pytorch/pytorch/blob/f99ab991dcd3719ee25dd3377a53ea12e518308e/test/distributed/algorithms/ddp_comm_hooks/test_ddp_hooks.py#L69", "DistributedDataParallelCommHookTest")</f>
        <v>DistributedDataParallelCommHookTest</v>
      </c>
      <c r="B118" s="25" t="s">
        <v>1467</v>
      </c>
      <c r="C118" s="25" t="s">
        <v>1468</v>
      </c>
      <c r="D118" s="25" t="s">
        <v>1469</v>
      </c>
      <c r="E118" s="121" t="b">
        <f>IF(E117=TRUE,TRUE,FALSE)</f>
        <v>1</v>
      </c>
      <c r="F118" s="119" t="s">
        <v>1295</v>
      </c>
    </row>
    <row r="119">
      <c r="A119" s="117" t="str">
        <f>HYPERLINK("https://github.com/pytorch/pytorch/blob/f99ab991dcd3719ee25dd3377a53ea12e518308e/test/distributed/algorithms/test_join.py#L137", "TestJoin")</f>
        <v>TestJoin</v>
      </c>
      <c r="B119" s="30" t="s">
        <v>1470</v>
      </c>
      <c r="C119" s="30" t="s">
        <v>1471</v>
      </c>
      <c r="D119" s="30" t="s">
        <v>1472</v>
      </c>
      <c r="E119" s="118" t="b">
        <f>IF(E117=TRUE,TRUE,FALSE)</f>
        <v>1</v>
      </c>
      <c r="F119" s="119" t="s">
        <v>1295</v>
      </c>
    </row>
    <row r="120">
      <c r="A120" s="135" t="str">
        <f>HYPERLINK("https://github.com/pytorch/pytorch/blob/f99ab991dcd3719ee25dd3377a53ea12e518308e/test/distributed/algorithms/ddp_comm_hooks/test_ddp_hooks.py#L60", "TestDdpCommHook")</f>
        <v>TestDdpCommHook</v>
      </c>
      <c r="B120" s="1" t="s">
        <v>1467</v>
      </c>
      <c r="C120" s="1" t="s">
        <v>1473</v>
      </c>
      <c r="D120" s="1" t="s">
        <v>1469</v>
      </c>
      <c r="E120" s="136" t="b">
        <v>1</v>
      </c>
      <c r="F120" s="119" t="s">
        <v>1295</v>
      </c>
    </row>
    <row r="121">
      <c r="A121" s="112" t="s">
        <v>1474</v>
      </c>
      <c r="B121" s="113"/>
      <c r="C121" s="113"/>
      <c r="D121" s="114"/>
      <c r="E121" s="115" t="b">
        <v>1</v>
      </c>
      <c r="F121" s="116"/>
    </row>
    <row r="122">
      <c r="A122" s="122" t="str">
        <f>HYPERLINK("https://github.com/pytorch/pytorch/blob/f99ab991dcd3719ee25dd3377a53ea12e518308e/test/distributed/test_symmetric_memory.py#L723", "SymmMemEmptySetDeviceTest")</f>
        <v>SymmMemEmptySetDeviceTest</v>
      </c>
      <c r="B122" s="91" t="s">
        <v>1475</v>
      </c>
      <c r="C122" s="91" t="s">
        <v>1476</v>
      </c>
      <c r="D122" s="91" t="s">
        <v>1477</v>
      </c>
      <c r="E122" s="123" t="b">
        <v>0</v>
      </c>
      <c r="F122" s="124"/>
    </row>
    <row r="123">
      <c r="A123" s="122" t="str">
        <f>HYPERLINK("https://github.com/pytorch/pytorch/blob/f99ab991dcd3719ee25dd3377a53ea12e518308e/test/distributed/test_symmetric_memory.py#L844", "SymmMemNegativeTest")</f>
        <v>SymmMemNegativeTest</v>
      </c>
      <c r="B123" s="91" t="s">
        <v>1475</v>
      </c>
      <c r="C123" s="91" t="s">
        <v>1478</v>
      </c>
      <c r="D123" s="91" t="s">
        <v>1477</v>
      </c>
      <c r="E123" s="123" t="b">
        <v>0</v>
      </c>
      <c r="F123" s="124"/>
    </row>
    <row r="124">
      <c r="A124" s="122" t="str">
        <f>HYPERLINK("https://github.com/pytorch/pytorch/blob/f99ab991dcd3719ee25dd3377a53ea12e518308e/test/distributed/test_symmetric_memory.py#L1427", "SymmMemSingleProcTest")</f>
        <v>SymmMemSingleProcTest</v>
      </c>
      <c r="B124" s="91" t="s">
        <v>1475</v>
      </c>
      <c r="C124" s="91" t="s">
        <v>1479</v>
      </c>
      <c r="D124" s="91" t="s">
        <v>1477</v>
      </c>
      <c r="E124" s="123" t="b">
        <v>0</v>
      </c>
      <c r="F124" s="124"/>
    </row>
    <row r="125">
      <c r="A125" s="128" t="str">
        <f>HYPERLINK("https://github.com/pytorch/pytorch/blob/f99ab991dcd3719ee25dd3377a53ea12e518308e/test/distributed/test_symmetric_memory.py#L67", "SymmetricMemoryTest")</f>
        <v>SymmetricMemoryTest</v>
      </c>
      <c r="B125" s="128" t="s">
        <v>1475</v>
      </c>
      <c r="C125" s="129" t="s">
        <v>1480</v>
      </c>
      <c r="D125" s="129" t="s">
        <v>1481</v>
      </c>
      <c r="E125" s="130" t="b">
        <v>0</v>
      </c>
      <c r="F125" s="129"/>
    </row>
    <row r="126">
      <c r="A126" s="128" t="str">
        <f>HYPERLINK("https://github.com/pytorch/pytorch/blob/f99ab991dcd3719ee25dd3377a53ea12e518308e/test/distributed/test_symmetric_memory.py#L375", "AsyncTPTest")</f>
        <v>AsyncTPTest</v>
      </c>
      <c r="B126" s="128" t="s">
        <v>1475</v>
      </c>
      <c r="C126" s="129" t="s">
        <v>1482</v>
      </c>
      <c r="D126" s="129" t="s">
        <v>1481</v>
      </c>
      <c r="E126" s="130" t="b">
        <v>0</v>
      </c>
      <c r="F126" s="129"/>
    </row>
    <row r="127">
      <c r="A127" s="128" t="str">
        <f>HYPERLINK("https://github.com/pytorch/pytorch/blob/f99ab991dcd3719ee25dd3377a53ea12e518308e/test/distributed/test_symmetric_memory.py#L952", "SymmMemCollectiveTest")</f>
        <v>SymmMemCollectiveTest</v>
      </c>
      <c r="B127" s="128" t="s">
        <v>1475</v>
      </c>
      <c r="C127" s="129" t="s">
        <v>1483</v>
      </c>
      <c r="D127" s="129" t="s">
        <v>1481</v>
      </c>
      <c r="E127" s="130" t="b">
        <v>0</v>
      </c>
      <c r="F127" s="129"/>
    </row>
    <row r="128">
      <c r="A128" s="128" t="str">
        <f>HYPERLINK("https://github.com/pytorch/pytorch/blob/f99ab991dcd3719ee25dd3377a53ea12e518308e/test/distributed/test_symmetric_memory.py#L1240", "LoweringTest")</f>
        <v>LoweringTest</v>
      </c>
      <c r="B128" s="128" t="s">
        <v>1475</v>
      </c>
      <c r="C128" s="129" t="s">
        <v>1484</v>
      </c>
      <c r="D128" s="129" t="s">
        <v>1481</v>
      </c>
      <c r="E128" s="130" t="b">
        <v>0</v>
      </c>
      <c r="F128" s="129"/>
    </row>
    <row r="129">
      <c r="A129" s="128" t="str">
        <f>HYPERLINK("https://github.com/pytorch/pytorch/blob/f99ab991dcd3719ee25dd3377a53ea12e518308e/test/distributed/test_symmetric_memory.py#L1506", "SymmMemPoolTest")</f>
        <v>SymmMemPoolTest</v>
      </c>
      <c r="B129" s="128" t="s">
        <v>1475</v>
      </c>
      <c r="C129" s="129" t="s">
        <v>1485</v>
      </c>
      <c r="D129" s="129" t="s">
        <v>1481</v>
      </c>
      <c r="E129" s="130" t="b">
        <v>0</v>
      </c>
      <c r="F129" s="129"/>
    </row>
    <row r="130">
      <c r="A130" s="128" t="str">
        <f>HYPERLINK("https://github.com/pytorch/pytorch/blob/f99ab991dcd3719ee25dd3377a53ea12e518308e/test/distributed/test_nccl.py#L224", "NCCLSymmetricMemoryTest")</f>
        <v>NCCLSymmetricMemoryTest</v>
      </c>
      <c r="B130" s="128" t="s">
        <v>1461</v>
      </c>
      <c r="C130" s="129" t="s">
        <v>1486</v>
      </c>
      <c r="D130" s="129" t="s">
        <v>1487</v>
      </c>
      <c r="E130" s="130" t="b">
        <v>0</v>
      </c>
      <c r="F130" s="129"/>
    </row>
    <row r="131">
      <c r="A131" s="128" t="str">
        <f>HYPERLINK("https://github.com/pytorch/pytorch/blob/f99ab991dcd3719ee25dd3377a53ea12e518308e/test/distributed/test_nvshmem.py#L65", "NVSHMEMSymmetricMemoryTest")</f>
        <v>NVSHMEMSymmetricMemoryTest</v>
      </c>
      <c r="B131" s="128" t="s">
        <v>1488</v>
      </c>
      <c r="C131" s="129" t="s">
        <v>1489</v>
      </c>
      <c r="D131" s="129" t="s">
        <v>1490</v>
      </c>
      <c r="E131" s="130" t="b">
        <v>0</v>
      </c>
      <c r="F131" s="129"/>
    </row>
    <row r="132">
      <c r="A132" s="128" t="str">
        <f>HYPERLINK("https://github.com/pytorch/pytorch/blob/f99ab991dcd3719ee25dd3377a53ea12e518308e/test/distributed/test_nvshmem.py#L305", "NVSHMEMAll2AllTest")</f>
        <v>NVSHMEMAll2AllTest</v>
      </c>
      <c r="B132" s="128" t="s">
        <v>1488</v>
      </c>
      <c r="C132" s="129" t="s">
        <v>1491</v>
      </c>
      <c r="D132" s="129" t="s">
        <v>1490</v>
      </c>
      <c r="E132" s="130" t="b">
        <v>0</v>
      </c>
      <c r="F132" s="129"/>
    </row>
    <row r="133">
      <c r="A133" s="128" t="str">
        <f>HYPERLINK("https://github.com/pytorch/pytorch/blob/f99ab991dcd3719ee25dd3377a53ea12e518308e/test/distributed/test_nvshmem.py#L710", "DispatchCombineTest")</f>
        <v>DispatchCombineTest</v>
      </c>
      <c r="B133" s="128" t="s">
        <v>1488</v>
      </c>
      <c r="C133" s="129" t="s">
        <v>1492</v>
      </c>
      <c r="D133" s="129" t="s">
        <v>1490</v>
      </c>
      <c r="E133" s="130" t="b">
        <v>0</v>
      </c>
      <c r="F133" s="129"/>
    </row>
    <row r="134">
      <c r="A134" s="128" t="str">
        <f>HYPERLINK("https://github.com/pytorch/pytorch/blob/f99ab991dcd3719ee25dd3377a53ea12e518308e/test/distributed/test_nvshmem.py#L769", "NVSHMEMTileCommTest")</f>
        <v>NVSHMEMTileCommTest</v>
      </c>
      <c r="B134" s="128" t="s">
        <v>1488</v>
      </c>
      <c r="C134" s="129" t="s">
        <v>1493</v>
      </c>
      <c r="D134" s="129" t="s">
        <v>1490</v>
      </c>
      <c r="E134" s="130" t="b">
        <v>0</v>
      </c>
      <c r="F134" s="129"/>
    </row>
    <row r="135">
      <c r="A135" s="128" t="str">
        <f>HYPERLINK("https://github.com/pytorch/pytorch/blob/f99ab991dcd3719ee25dd3377a53ea12e518308e/test/distributed/test_nvshmem_triton.py#L278", "NVSHMEMTritonTest")</f>
        <v>NVSHMEMTritonTest</v>
      </c>
      <c r="B135" s="128" t="s">
        <v>1494</v>
      </c>
      <c r="C135" s="129" t="s">
        <v>1495</v>
      </c>
      <c r="D135" s="129" t="s">
        <v>1490</v>
      </c>
      <c r="E135" s="130" t="b">
        <v>0</v>
      </c>
      <c r="F135" s="129"/>
    </row>
    <row r="136">
      <c r="A136" s="128" t="str">
        <f>HYPERLINK("https://github.com/pytorch/pytorch/blob/f99ab991dcd3719ee25dd3377a53ea12e518308e/test/distributed/test_p2p_ipc.py#L25", "P2PIpcTest")</f>
        <v>P2PIpcTest</v>
      </c>
      <c r="B136" s="128" t="s">
        <v>1496</v>
      </c>
      <c r="C136" s="129" t="s">
        <v>1497</v>
      </c>
      <c r="D136" s="129" t="s">
        <v>1373</v>
      </c>
      <c r="E136" s="130" t="b">
        <v>0</v>
      </c>
      <c r="F136" s="129"/>
    </row>
    <row r="137">
      <c r="A137" s="128" t="str">
        <f>HYPERLINK("https://github.com/pytorch/pytorch/blob/f99ab991dcd3719ee25dd3377a53ea12e518308e/test/distributed/test_cupy_as_tensor.py#L50", "CupyAsTensorTest")</f>
        <v>CupyAsTensorTest</v>
      </c>
      <c r="B137" s="128" t="s">
        <v>1498</v>
      </c>
      <c r="C137" s="129" t="s">
        <v>1499</v>
      </c>
      <c r="D137" s="129" t="s">
        <v>1500</v>
      </c>
      <c r="E137" s="130" t="b">
        <v>0</v>
      </c>
      <c r="F137" s="129"/>
    </row>
    <row r="138">
      <c r="A138" s="128" t="str">
        <f>HYPERLINK("https://github.com/pytorch/pytorch/blob/f99ab991dcd3719ee25dd3377a53ea12e518308e/test/distributed/test_ce_colls.py#L26", "NCCLCopyEngineCollectives")</f>
        <v>NCCLCopyEngineCollectives</v>
      </c>
      <c r="B138" s="128" t="s">
        <v>1501</v>
      </c>
      <c r="C138" s="129" t="s">
        <v>1502</v>
      </c>
      <c r="D138" s="129" t="s">
        <v>1503</v>
      </c>
      <c r="E138" s="130" t="b">
        <v>0</v>
      </c>
      <c r="F138" s="129"/>
    </row>
    <row r="139">
      <c r="A139" s="128" t="str">
        <f>HYPERLINK("https://github.com/pytorch/pytorch/blob/f99ab991dcd3719ee25dd3377a53ea12e518308e/test/distributed/test_nvshmem.py#L735", "DispatchCombineInSubgroups")</f>
        <v>DispatchCombineInSubgroups</v>
      </c>
      <c r="B139" s="128" t="s">
        <v>1488</v>
      </c>
      <c r="C139" s="129" t="s">
        <v>1504</v>
      </c>
      <c r="D139" s="129" t="s">
        <v>1490</v>
      </c>
      <c r="E139" s="130" t="b">
        <v>0</v>
      </c>
      <c r="F139" s="129"/>
    </row>
    <row r="140">
      <c r="A140" s="112" t="s">
        <v>1505</v>
      </c>
      <c r="B140" s="113"/>
      <c r="C140" s="113"/>
      <c r="D140" s="114"/>
      <c r="E140" s="115" t="b">
        <v>1</v>
      </c>
      <c r="F140" s="116"/>
    </row>
    <row r="141">
      <c r="A141" s="122" t="str">
        <f>HYPERLINK("https://github.com/pytorch/pytorch/blob/f99ab991dcd3719ee25dd3377a53ea12e518308e/test/distributed/test_dist2.py#L24", "ProcessGroupTest")</f>
        <v>ProcessGroupTest</v>
      </c>
      <c r="B141" s="91" t="s">
        <v>1506</v>
      </c>
      <c r="C141" s="91" t="s">
        <v>1507</v>
      </c>
      <c r="D141" s="91" t="s">
        <v>1508</v>
      </c>
      <c r="E141" s="123" t="b">
        <v>0</v>
      </c>
      <c r="F141" s="124"/>
    </row>
    <row r="142">
      <c r="A142" s="122" t="str">
        <f>HYPERLINK("https://github.com/pytorch/pytorch/blob/f99ab991dcd3719ee25dd3377a53ea12e518308e/test/distributed/test_dist2.py#L55", "Dist2MultiProcessTestCase")</f>
        <v>Dist2MultiProcessTestCase</v>
      </c>
      <c r="B142" s="91" t="s">
        <v>1506</v>
      </c>
      <c r="C142" s="91" t="s">
        <v>1509</v>
      </c>
      <c r="D142" s="91" t="s">
        <v>1510</v>
      </c>
      <c r="E142" s="123" t="b">
        <v>0</v>
      </c>
      <c r="F142" s="124"/>
    </row>
    <row r="143">
      <c r="A143" s="122" t="str">
        <f>HYPERLINK("https://github.com/pytorch/pytorch/blob/f99ab991dcd3719ee25dd3377a53ea12e518308e/test/distributed/test_dist2.py#L265", "ProcessGroupGlooTest")</f>
        <v>ProcessGroupGlooTest</v>
      </c>
      <c r="B143" s="91" t="s">
        <v>1506</v>
      </c>
      <c r="C143" s="91" t="s">
        <v>1511</v>
      </c>
      <c r="D143" s="91" t="s">
        <v>1512</v>
      </c>
      <c r="E143" s="123" t="b">
        <v>0</v>
      </c>
      <c r="F143" s="124"/>
    </row>
    <row r="144">
      <c r="A144" s="122" t="str">
        <f>HYPERLINK("https://github.com/pytorch/pytorch/blob/f99ab991dcd3719ee25dd3377a53ea12e518308e/test/distributed/test_dist2.py#L284", "ProcessGroupNCCLTest")</f>
        <v>ProcessGroupNCCLTest</v>
      </c>
      <c r="B144" s="91" t="s">
        <v>1506</v>
      </c>
      <c r="C144" s="91" t="s">
        <v>1513</v>
      </c>
      <c r="D144" s="91" t="s">
        <v>1514</v>
      </c>
      <c r="E144" s="123" t="b">
        <v>0</v>
      </c>
      <c r="F144" s="124"/>
    </row>
    <row r="145">
      <c r="A145" s="112" t="s">
        <v>1515</v>
      </c>
      <c r="B145" s="113"/>
      <c r="C145" s="113"/>
      <c r="D145" s="114"/>
      <c r="E145" s="115" t="b">
        <v>1</v>
      </c>
      <c r="F145" s="116"/>
    </row>
    <row r="146">
      <c r="A146" s="137" t="str">
        <f>HYPERLINK("https://github.com/pytorch/pytorch/blob/f99ab991dcd3719ee25dd3377a53ea12e518308e/test/distributed/test_inductor_collectives.py#L66", "TestCollectivesMultiProc")</f>
        <v>TestCollectivesMultiProc</v>
      </c>
      <c r="B146" s="51" t="s">
        <v>1516</v>
      </c>
      <c r="C146" s="51" t="s">
        <v>1517</v>
      </c>
      <c r="D146" s="51" t="s">
        <v>1518</v>
      </c>
      <c r="E146" s="138" t="s">
        <v>1519</v>
      </c>
      <c r="F146" s="139"/>
    </row>
    <row r="147">
      <c r="A147" s="137" t="str">
        <f>HYPERLINK("https://github.com/pytorch/pytorch/blob/f99ab991dcd3719ee25dd3377a53ea12e518308e/test/distributed/test_inductor_collectives.py#L833", "TestCollectivesInductor")</f>
        <v>TestCollectivesInductor</v>
      </c>
      <c r="B147" s="51" t="s">
        <v>1516</v>
      </c>
      <c r="C147" s="51" t="s">
        <v>1520</v>
      </c>
      <c r="D147" s="51" t="s">
        <v>1518</v>
      </c>
      <c r="E147" s="138" t="s">
        <v>1519</v>
      </c>
      <c r="F147" s="139"/>
    </row>
    <row r="148">
      <c r="A148" s="137" t="str">
        <f>HYPERLINK("https://github.com/pytorch/pytorch/blob/f99ab991dcd3719ee25dd3377a53ea12e518308e/test/distributed/test_inductor_collectives.py#L2202", "TestSyncDecisionCrossRanks")</f>
        <v>TestSyncDecisionCrossRanks</v>
      </c>
      <c r="B148" s="51" t="s">
        <v>1516</v>
      </c>
      <c r="C148" s="51" t="s">
        <v>1521</v>
      </c>
      <c r="D148" s="51" t="s">
        <v>1518</v>
      </c>
      <c r="E148" s="138" t="s">
        <v>1519</v>
      </c>
      <c r="F148" s="139"/>
    </row>
    <row r="149">
      <c r="A149" s="137" t="str">
        <f>HYPERLINK("https://github.com/pytorch/pytorch/blob/f99ab991dcd3719ee25dd3377a53ea12e518308e/test/distributed/test_aten_comm_compute_reordering.py#L97", "TestComputeCommReorderingMultiProc")</f>
        <v>TestComputeCommReorderingMultiProc</v>
      </c>
      <c r="B149" s="51" t="s">
        <v>1522</v>
      </c>
      <c r="C149" s="51" t="s">
        <v>1523</v>
      </c>
      <c r="D149" s="51" t="s">
        <v>1524</v>
      </c>
      <c r="E149" s="138" t="s">
        <v>1519</v>
      </c>
      <c r="F149" s="139"/>
    </row>
    <row r="150">
      <c r="A150" s="137" t="str">
        <f>HYPERLINK("https://github.com/pytorch/pytorch/blob/f99ab991dcd3719ee25dd3377a53ea12e518308e/test/distributed/test_aten_comm_compute_reordering.py#L525", "TestComputeCommReorderingBucketing")</f>
        <v>TestComputeCommReorderingBucketing</v>
      </c>
      <c r="B150" s="51" t="s">
        <v>1522</v>
      </c>
      <c r="C150" s="51" t="s">
        <v>1525</v>
      </c>
      <c r="D150" s="51" t="s">
        <v>1524</v>
      </c>
      <c r="E150" s="138" t="s">
        <v>1519</v>
      </c>
      <c r="F150" s="139"/>
    </row>
    <row r="151">
      <c r="A151" s="137" t="str">
        <f>HYPERLINK("https://github.com/pytorch/pytorch/blob/f99ab991dcd3719ee25dd3377a53ea12e518308e/test/distributed/test_aten_comm_compute_reordering.py#L1301", "TestManualOverlapBucketing")</f>
        <v>TestManualOverlapBucketing</v>
      </c>
      <c r="B151" s="51" t="s">
        <v>1522</v>
      </c>
      <c r="C151" s="51" t="s">
        <v>1526</v>
      </c>
      <c r="D151" s="51" t="s">
        <v>1524</v>
      </c>
      <c r="E151" s="138" t="s">
        <v>1519</v>
      </c>
      <c r="F151" s="139"/>
    </row>
    <row r="152">
      <c r="A152" s="137" t="str">
        <f>HYPERLINK("https://github.com/pytorch/pytorch/blob/f99ab991dcd3719ee25dd3377a53ea12e518308e/test/distributed/test_overlap_bucketing_unit.py#L100", "TestOverlapPreservingBucketing")</f>
        <v>TestOverlapPreservingBucketing</v>
      </c>
      <c r="B152" s="51" t="s">
        <v>1527</v>
      </c>
      <c r="C152" s="51" t="s">
        <v>1528</v>
      </c>
      <c r="D152" s="51" t="s">
        <v>1529</v>
      </c>
      <c r="E152" s="138" t="s">
        <v>1519</v>
      </c>
      <c r="F152" s="139"/>
    </row>
    <row r="153">
      <c r="A153" s="137" t="str">
        <f>HYPERLINK("https://github.com/pytorch/pytorch/blob/f99ab991dcd3719ee25dd3377a53ea12e518308e/test/distributed/test_overlap_bucketing_unit.py#L727", "TestCrossPGOverlap")</f>
        <v>TestCrossPGOverlap</v>
      </c>
      <c r="B153" s="51" t="s">
        <v>1527</v>
      </c>
      <c r="C153" s="51" t="s">
        <v>1530</v>
      </c>
      <c r="D153" s="51" t="s">
        <v>1529</v>
      </c>
      <c r="E153" s="138" t="s">
        <v>1519</v>
      </c>
      <c r="F153" s="139"/>
    </row>
    <row r="154">
      <c r="A154" s="137" t="str">
        <f>HYPERLINK("https://github.com/pytorch/pytorch/blob/f99ab991dcd3719ee25dd3377a53ea12e518308e/test/distributed/test_overlap_bucketing_unit.py#L902", "TestFusibleNodeOverlap")</f>
        <v>TestFusibleNodeOverlap</v>
      </c>
      <c r="B154" s="51" t="s">
        <v>1527</v>
      </c>
      <c r="C154" s="51" t="s">
        <v>1531</v>
      </c>
      <c r="D154" s="51" t="s">
        <v>1529</v>
      </c>
      <c r="E154" s="138" t="s">
        <v>1519</v>
      </c>
      <c r="F154" s="139"/>
    </row>
    <row r="155">
      <c r="A155" s="137" t="str">
        <f>HYPERLINK("https://github.com/pytorch/pytorch/blob/f99ab991dcd3719ee25dd3377a53ea12e518308e/test/distributed/test_overlap_bucketing_unit.py#L1022", "TestOverlapSchedulingFixes")</f>
        <v>TestOverlapSchedulingFixes</v>
      </c>
      <c r="B155" s="51" t="s">
        <v>1527</v>
      </c>
      <c r="C155" s="51" t="s">
        <v>1532</v>
      </c>
      <c r="D155" s="51" t="s">
        <v>1529</v>
      </c>
      <c r="E155" s="138" t="s">
        <v>1519</v>
      </c>
      <c r="F155" s="139"/>
    </row>
    <row r="156">
      <c r="A156" s="140" t="str">
        <f>HYPERLINK("https://github.com/pytorch/pytorch/blob/f99ab991dcd3719ee25dd3377a53ea12e518308e/test/distributed/test_overlap_bucketing_unit.py#L1210", "TestForeachGroupsUnit")</f>
        <v>TestForeachGroupsUnit</v>
      </c>
      <c r="B156" s="140" t="s">
        <v>1527</v>
      </c>
      <c r="C156" s="141" t="s">
        <v>1533</v>
      </c>
      <c r="D156" s="141" t="s">
        <v>1529</v>
      </c>
      <c r="E156" s="138" t="s">
        <v>1519</v>
      </c>
      <c r="F156" s="139"/>
    </row>
    <row r="157">
      <c r="A157" s="112" t="s">
        <v>1534</v>
      </c>
      <c r="B157" s="113"/>
      <c r="C157" s="113"/>
      <c r="D157" s="114"/>
      <c r="E157" s="115" t="b">
        <v>1</v>
      </c>
      <c r="F157" s="116"/>
    </row>
    <row r="158">
      <c r="A158" s="122" t="str">
        <f>HYPERLINK("https://github.com/pytorch/pytorch/blob/f99ab991dcd3719ee25dd3377a53ea12e518308e/test/distributed/flight_recorder/test_fr_analysis.py#L43", "FlightRecorderEventTest")</f>
        <v>FlightRecorderEventTest</v>
      </c>
      <c r="B158" s="91" t="s">
        <v>1535</v>
      </c>
      <c r="C158" s="91" t="s">
        <v>1536</v>
      </c>
      <c r="D158" s="91" t="s">
        <v>64</v>
      </c>
      <c r="E158" s="123" t="b">
        <v>0</v>
      </c>
      <c r="F158" s="124"/>
    </row>
    <row r="159">
      <c r="A159" s="122" t="str">
        <f>HYPERLINK("https://github.com/pytorch/pytorch/blob/f99ab991dcd3719ee25dd3377a53ea12e518308e/test/distributed/flight_recorder/test_fr_analysis.py#L181", "FlightMatchInfoTest")</f>
        <v>FlightMatchInfoTest</v>
      </c>
      <c r="B159" s="91" t="s">
        <v>1535</v>
      </c>
      <c r="C159" s="91" t="s">
        <v>1537</v>
      </c>
      <c r="D159" s="91" t="s">
        <v>64</v>
      </c>
      <c r="E159" s="123" t="b">
        <v>0</v>
      </c>
      <c r="F159" s="124"/>
    </row>
    <row r="160">
      <c r="A160" s="122" t="str">
        <f>HYPERLINK("https://github.com/pytorch/pytorch/blob/f99ab991dcd3719ee25dd3377a53ea12e518308e/test/distributed/flight_recorder/test_fr_analysis.py#L237", "FlightRecorderE2ETest")</f>
        <v>FlightRecorderE2ETest</v>
      </c>
      <c r="B160" s="91" t="s">
        <v>1535</v>
      </c>
      <c r="C160" s="91" t="s">
        <v>1538</v>
      </c>
      <c r="D160" s="91" t="s">
        <v>64</v>
      </c>
      <c r="E160" s="123" t="b">
        <v>0</v>
      </c>
      <c r="F160" s="124"/>
    </row>
    <row r="161">
      <c r="A161" s="107" t="s">
        <v>1539</v>
      </c>
      <c r="B161" s="108"/>
      <c r="C161" s="108"/>
      <c r="D161" s="109"/>
      <c r="E161" s="110" t="b">
        <v>1</v>
      </c>
      <c r="F161" s="111"/>
    </row>
    <row r="162">
      <c r="A162" s="112" t="s">
        <v>1540</v>
      </c>
      <c r="B162" s="113"/>
      <c r="C162" s="113"/>
      <c r="D162" s="114"/>
      <c r="E162" s="115" t="b">
        <v>1</v>
      </c>
      <c r="F162" s="116"/>
    </row>
    <row r="163">
      <c r="A163" s="120" t="str">
        <f>HYPERLINK("https://github.com/pytorch/pytorch/blob/f99ab991dcd3719ee25dd3377a53ea12e518308e/test/distributed/test_device_mesh.py#L87", "DeviceMeshTestGlooBackend")</f>
        <v>DeviceMeshTestGlooBackend</v>
      </c>
      <c r="B163" s="25" t="s">
        <v>1541</v>
      </c>
      <c r="C163" s="25" t="s">
        <v>1542</v>
      </c>
      <c r="D163" s="25" t="s">
        <v>1543</v>
      </c>
      <c r="E163" s="121" t="b">
        <f>IF(E162=TRUE,TRUE,FALSE)</f>
        <v>1</v>
      </c>
      <c r="F163" s="133"/>
    </row>
    <row r="164">
      <c r="A164" s="117" t="str">
        <f>HYPERLINK("https://github.com/pytorch/pytorch/blob/f99ab991dcd3719ee25dd3377a53ea12e518308e/test/distributed/test_device_mesh.py#L104", "DeviceMeshSetDeviceTest")</f>
        <v>DeviceMeshSetDeviceTest</v>
      </c>
      <c r="B164" s="30" t="s">
        <v>1541</v>
      </c>
      <c r="C164" s="30" t="s">
        <v>1544</v>
      </c>
      <c r="D164" s="30" t="s">
        <v>1543</v>
      </c>
      <c r="E164" s="118" t="b">
        <f>IF(E162=TRUE,TRUE,FALSE)</f>
        <v>1</v>
      </c>
      <c r="F164" s="134"/>
    </row>
    <row r="165">
      <c r="A165" s="120" t="str">
        <f>HYPERLINK("https://github.com/pytorch/pytorch/blob/f99ab991dcd3719ee25dd3377a53ea12e518308e/test/distributed/test_device_mesh.py#L169", "DeviceMeshTest")</f>
        <v>DeviceMeshTest</v>
      </c>
      <c r="B165" s="25" t="s">
        <v>1541</v>
      </c>
      <c r="C165" s="25" t="s">
        <v>1545</v>
      </c>
      <c r="D165" s="25" t="s">
        <v>1543</v>
      </c>
      <c r="E165" s="121" t="b">
        <f>IF(E162=TRUE,TRUE,FALSE)</f>
        <v>1</v>
      </c>
      <c r="F165" s="133"/>
    </row>
    <row r="166">
      <c r="A166" s="117" t="str">
        <f>HYPERLINK("https://github.com/pytorch/pytorch/blob/f99ab991dcd3719ee25dd3377a53ea12e518308e/test/distributed/test_device_mesh.py#L425", "DeviceMeshTestNDim")</f>
        <v>DeviceMeshTestNDim</v>
      </c>
      <c r="B166" s="30" t="s">
        <v>1541</v>
      </c>
      <c r="C166" s="30" t="s">
        <v>1546</v>
      </c>
      <c r="D166" s="30" t="s">
        <v>1543</v>
      </c>
      <c r="E166" s="118" t="b">
        <f>IF(E162=TRUE,TRUE,FALSE)</f>
        <v>1</v>
      </c>
      <c r="F166" s="134"/>
    </row>
    <row r="167">
      <c r="A167" s="120" t="str">
        <f>HYPERLINK("https://github.com/pytorch/pytorch/blob/f99ab991dcd3719ee25dd3377a53ea12e518308e/test/distributed/test_device_mesh.py#L629", "InitDeviceMeshTest")</f>
        <v>InitDeviceMeshTest</v>
      </c>
      <c r="B167" s="25" t="s">
        <v>1541</v>
      </c>
      <c r="C167" s="25" t="s">
        <v>1547</v>
      </c>
      <c r="D167" s="25" t="s">
        <v>1543</v>
      </c>
      <c r="E167" s="121" t="b">
        <f>IF(E162=TRUE,TRUE,FALSE)</f>
        <v>1</v>
      </c>
      <c r="F167" s="133"/>
    </row>
    <row r="168">
      <c r="A168" s="117" t="str">
        <f>HYPERLINK("https://github.com/pytorch/pytorch/blob/f99ab991dcd3719ee25dd3377a53ea12e518308e/test/distributed/test_device_mesh.py#L785", "TestDeviceMeshGetItem")</f>
        <v>TestDeviceMeshGetItem</v>
      </c>
      <c r="B168" s="30" t="s">
        <v>1541</v>
      </c>
      <c r="C168" s="30" t="s">
        <v>1548</v>
      </c>
      <c r="D168" s="30" t="s">
        <v>1543</v>
      </c>
      <c r="E168" s="118" t="b">
        <f>IF(E162=TRUE,TRUE,FALSE)</f>
        <v>1</v>
      </c>
      <c r="F168" s="134"/>
    </row>
    <row r="169">
      <c r="A169" s="120" t="str">
        <f>HYPERLINK("https://github.com/pytorch/pytorch/blob/f99ab991dcd3719ee25dd3377a53ea12e518308e/test/distributed/test_device_mesh.py#L1171", "TestMeshEnv")</f>
        <v>TestMeshEnv</v>
      </c>
      <c r="B169" s="25" t="s">
        <v>1541</v>
      </c>
      <c r="C169" s="25" t="s">
        <v>1549</v>
      </c>
      <c r="D169" s="25" t="s">
        <v>1543</v>
      </c>
      <c r="E169" s="121" t="b">
        <f>IF(E162=TRUE,TRUE,FALSE)</f>
        <v>1</v>
      </c>
      <c r="F169" s="133"/>
    </row>
    <row r="170">
      <c r="A170" s="117" t="str">
        <f>HYPERLINK("https://github.com/pytorch/pytorch/blob/f99ab991dcd3719ee25dd3377a53ea12e518308e/test/distributed/test_device_mesh.py#L1260", "DeviceMeshCollectiveTest")</f>
        <v>DeviceMeshCollectiveTest</v>
      </c>
      <c r="B170" s="30" t="s">
        <v>1541</v>
      </c>
      <c r="C170" s="30" t="s">
        <v>1550</v>
      </c>
      <c r="D170" s="30" t="s">
        <v>1543</v>
      </c>
      <c r="E170" s="118" t="b">
        <f>IF(E162=TRUE,TRUE,FALSE)</f>
        <v>1</v>
      </c>
      <c r="F170" s="134"/>
    </row>
    <row r="171">
      <c r="A171" s="120" t="str">
        <f>HYPERLINK("https://github.com/pytorch/pytorch/blob/f99ab991dcd3719ee25dd3377a53ea12e518308e/test/distributed/test_device_mesh.py#L1623", "CuTeLayoutTest")</f>
        <v>CuTeLayoutTest</v>
      </c>
      <c r="B171" s="25" t="s">
        <v>1541</v>
      </c>
      <c r="C171" s="25" t="s">
        <v>1551</v>
      </c>
      <c r="D171" s="25" t="s">
        <v>64</v>
      </c>
      <c r="E171" s="121" t="b">
        <f>IF(E162=TRUE,TRUE,FALSE)</f>
        <v>1</v>
      </c>
      <c r="F171" s="133"/>
    </row>
    <row r="172">
      <c r="A172" s="107" t="s">
        <v>1552</v>
      </c>
      <c r="B172" s="108"/>
      <c r="C172" s="108"/>
      <c r="D172" s="109"/>
      <c r="E172" s="110" t="b">
        <v>1</v>
      </c>
      <c r="F172" s="111"/>
    </row>
    <row r="173">
      <c r="A173" s="112" t="s">
        <v>1553</v>
      </c>
      <c r="B173" s="113"/>
      <c r="C173" s="113"/>
      <c r="D173" s="114"/>
      <c r="E173" s="115" t="b">
        <v>1</v>
      </c>
      <c r="F173" s="116"/>
    </row>
    <row r="174">
      <c r="A174" s="117" t="str">
        <f>HYPERLINK("https://github.com/pytorch/pytorch/blob/f99ab991dcd3719ee25dd3377a53ea12e518308e/test/distributed/_composable/test_checkpoint.py#L95", "TestCheckpoint")</f>
        <v>TestCheckpoint</v>
      </c>
      <c r="B174" s="30" t="s">
        <v>1554</v>
      </c>
      <c r="C174" s="30" t="s">
        <v>1555</v>
      </c>
      <c r="D174" s="30" t="s">
        <v>1556</v>
      </c>
      <c r="E174" s="118" t="b">
        <f>IF(E173=TRUE,TRUE,FALSE)</f>
        <v>1</v>
      </c>
      <c r="F174" s="119" t="s">
        <v>1295</v>
      </c>
    </row>
    <row r="175">
      <c r="A175" s="120" t="str">
        <f>HYPERLINK("https://github.com/pytorch/pytorch/blob/f99ab991dcd3719ee25dd3377a53ea12e518308e/test/distributed/_composable/test_contract.py#L26", "TestContract")</f>
        <v>TestContract</v>
      </c>
      <c r="B175" s="25" t="s">
        <v>1557</v>
      </c>
      <c r="C175" s="25" t="s">
        <v>1558</v>
      </c>
      <c r="D175" s="25" t="s">
        <v>1294</v>
      </c>
      <c r="E175" s="121" t="b">
        <f>IF(E173=TRUE,TRUE,FALSE)</f>
        <v>1</v>
      </c>
      <c r="F175" s="119" t="s">
        <v>1295</v>
      </c>
    </row>
    <row r="176">
      <c r="A176" s="112" t="s">
        <v>1559</v>
      </c>
      <c r="B176" s="113"/>
      <c r="C176" s="113"/>
      <c r="D176" s="114"/>
      <c r="E176" s="115" t="b">
        <v>1</v>
      </c>
      <c r="F176" s="116"/>
    </row>
    <row r="177">
      <c r="A177" s="117" t="str">
        <f>HYPERLINK("https://github.com/pytorch/pytorch/blob/f99ab991dcd3719ee25dd3377a53ea12e518308e/test/distributed/_composable/test_replicate.py#L36", "ReplicateStateDictTest")</f>
        <v>ReplicateStateDictTest</v>
      </c>
      <c r="B177" s="30" t="s">
        <v>1560</v>
      </c>
      <c r="C177" s="30" t="s">
        <v>1561</v>
      </c>
      <c r="D177" s="30" t="s">
        <v>1562</v>
      </c>
      <c r="E177" s="118" t="b">
        <f>IF(E176=TRUE,TRUE,FALSE)</f>
        <v>1</v>
      </c>
      <c r="F177" s="119" t="s">
        <v>1295</v>
      </c>
    </row>
    <row r="178">
      <c r="A178" s="120" t="str">
        <f>HYPERLINK("https://github.com/pytorch/pytorch/blob/f99ab991dcd3719ee25dd3377a53ea12e518308e/test/distributed/_composable/test_replicate.py#L79", "ReplicateTest")</f>
        <v>ReplicateTest</v>
      </c>
      <c r="B178" s="25" t="s">
        <v>1560</v>
      </c>
      <c r="C178" s="25" t="s">
        <v>1563</v>
      </c>
      <c r="D178" s="25" t="s">
        <v>1564</v>
      </c>
      <c r="E178" s="121" t="b">
        <f>IF(E176=TRUE,TRUE,FALSE)</f>
        <v>1</v>
      </c>
      <c r="F178" s="119" t="s">
        <v>1295</v>
      </c>
    </row>
    <row r="179">
      <c r="A179" s="117" t="str">
        <f>HYPERLINK("https://github.com/pytorch/pytorch/blob/f99ab991dcd3719ee25dd3377a53ea12e518308e/test/distributed/_composable/test_replicate_mixed_precision.py#L41", "TestReplicateMixedPrecisionTraining")</f>
        <v>TestReplicateMixedPrecisionTraining</v>
      </c>
      <c r="B179" s="30" t="s">
        <v>1565</v>
      </c>
      <c r="C179" s="30" t="s">
        <v>1566</v>
      </c>
      <c r="D179" s="30" t="s">
        <v>1567</v>
      </c>
      <c r="E179" s="118" t="b">
        <f>IF(E176=TRUE,TRUE,FALSE)</f>
        <v>1</v>
      </c>
      <c r="F179" s="119" t="s">
        <v>1295</v>
      </c>
    </row>
    <row r="180">
      <c r="A180" s="120" t="str">
        <f>HYPERLINK("https://github.com/pytorch/pytorch/blob/f99ab991dcd3719ee25dd3377a53ea12e518308e/test/distributed/_composable/test_replicate_mixed_precision.py#L326", "TestReplicateMixedPrecisionCasts")</f>
        <v>TestReplicateMixedPrecisionCasts</v>
      </c>
      <c r="B180" s="25" t="s">
        <v>1565</v>
      </c>
      <c r="C180" s="25" t="s">
        <v>1568</v>
      </c>
      <c r="D180" s="25" t="s">
        <v>1567</v>
      </c>
      <c r="E180" s="121" t="b">
        <f>IF(E176=TRUE,TRUE,FALSE)</f>
        <v>1</v>
      </c>
      <c r="F180" s="119" t="s">
        <v>1295</v>
      </c>
    </row>
    <row r="181">
      <c r="A181" s="117" t="str">
        <f>HYPERLINK("https://github.com/pytorch/pytorch/blob/f99ab991dcd3719ee25dd3377a53ea12e518308e/test/distributed/_composable/test_replicate_training.py#L68", "TestReplicateForwardInputs")</f>
        <v>TestReplicateForwardInputs</v>
      </c>
      <c r="B181" s="30" t="s">
        <v>1569</v>
      </c>
      <c r="C181" s="30" t="s">
        <v>1570</v>
      </c>
      <c r="D181" s="30" t="s">
        <v>1571</v>
      </c>
      <c r="E181" s="118" t="b">
        <f>IF(E176=TRUE,TRUE,FALSE)</f>
        <v>1</v>
      </c>
      <c r="F181" s="119" t="s">
        <v>1295</v>
      </c>
    </row>
    <row r="182">
      <c r="A182" s="120" t="str">
        <f>HYPERLINK("https://github.com/pytorch/pytorch/blob/f99ab991dcd3719ee25dd3377a53ea12e518308e/test/distributed/_composable/test_replicate_training.py#L101", "TestReplicateRegisteredParams")</f>
        <v>TestReplicateRegisteredParams</v>
      </c>
      <c r="B182" s="25" t="s">
        <v>1569</v>
      </c>
      <c r="C182" s="25" t="s">
        <v>1572</v>
      </c>
      <c r="D182" s="25" t="s">
        <v>1571</v>
      </c>
      <c r="E182" s="121" t="b">
        <f>IF(E176=TRUE,TRUE,FALSE)</f>
        <v>1</v>
      </c>
      <c r="F182" s="119" t="s">
        <v>1295</v>
      </c>
    </row>
    <row r="183">
      <c r="A183" s="117" t="str">
        <f>HYPERLINK("https://github.com/pytorch/pytorch/blob/f99ab991dcd3719ee25dd3377a53ea12e518308e/test/distributed/_composable/test_replicate_training.py#L202", "TestReplicateCastAfterInit")</f>
        <v>TestReplicateCastAfterInit</v>
      </c>
      <c r="B183" s="30" t="s">
        <v>1569</v>
      </c>
      <c r="C183" s="30" t="s">
        <v>1573</v>
      </c>
      <c r="D183" s="30" t="s">
        <v>1571</v>
      </c>
      <c r="E183" s="118" t="b">
        <f>IF(E176=TRUE,TRUE,FALSE)</f>
        <v>1</v>
      </c>
      <c r="F183" s="119" t="s">
        <v>1295</v>
      </c>
    </row>
    <row r="184">
      <c r="A184" s="120" t="str">
        <f>HYPERLINK("https://github.com/pytorch/pytorch/blob/f99ab991dcd3719ee25dd3377a53ea12e518308e/test/distributed/_composable/test_replicate_training.py#L258", "TestReplicate1DTrainingCore")</f>
        <v>TestReplicate1DTrainingCore</v>
      </c>
      <c r="B184" s="25" t="s">
        <v>1569</v>
      </c>
      <c r="C184" s="25" t="s">
        <v>1574</v>
      </c>
      <c r="D184" s="25" t="s">
        <v>1571</v>
      </c>
      <c r="E184" s="121" t="b">
        <f>IF(E176=TRUE,TRUE,FALSE)</f>
        <v>1</v>
      </c>
      <c r="F184" s="119" t="s">
        <v>1295</v>
      </c>
    </row>
    <row r="185">
      <c r="A185" s="117" t="str">
        <f>HYPERLINK("https://github.com/pytorch/pytorch/blob/f99ab991dcd3719ee25dd3377a53ea12e518308e/test/distributed/_composable/test_replicate_training.py#L651", "TestReplicateTrainingCompose")</f>
        <v>TestReplicateTrainingCompose</v>
      </c>
      <c r="B185" s="30" t="s">
        <v>1569</v>
      </c>
      <c r="C185" s="30" t="s">
        <v>1575</v>
      </c>
      <c r="D185" s="30" t="s">
        <v>1571</v>
      </c>
      <c r="E185" s="118" t="b">
        <f>IF(E176=TRUE,TRUE,FALSE)</f>
        <v>1</v>
      </c>
      <c r="F185" s="119" t="s">
        <v>1295</v>
      </c>
    </row>
    <row r="186">
      <c r="A186" s="120" t="str">
        <f>HYPERLINK("https://github.com/pytorch/pytorch/blob/f99ab991dcd3719ee25dd3377a53ea12e518308e/test/distributed/_composable/test_replicate_training.py#L779", "TestReplicateSharedParams")</f>
        <v>TestReplicateSharedParams</v>
      </c>
      <c r="B186" s="25" t="s">
        <v>1569</v>
      </c>
      <c r="C186" s="25" t="s">
        <v>1576</v>
      </c>
      <c r="D186" s="25" t="s">
        <v>1571</v>
      </c>
      <c r="E186" s="121" t="b">
        <f>IF(E176=TRUE,TRUE,FALSE)</f>
        <v>1</v>
      </c>
      <c r="F186" s="119" t="s">
        <v>1295</v>
      </c>
    </row>
    <row r="187">
      <c r="A187" s="117" t="str">
        <f>HYPERLINK("https://github.com/pytorch/pytorch/blob/f99ab991dcd3719ee25dd3377a53ea12e518308e/test/distributed/_composable/test_replicate_training.py#L833", "TestReplicateGradientAccumulation")</f>
        <v>TestReplicateGradientAccumulation</v>
      </c>
      <c r="B187" s="30" t="s">
        <v>1569</v>
      </c>
      <c r="C187" s="30" t="s">
        <v>1577</v>
      </c>
      <c r="D187" s="30" t="s">
        <v>1571</v>
      </c>
      <c r="E187" s="118" t="b">
        <f>IF(E176=TRUE,TRUE,FALSE)</f>
        <v>1</v>
      </c>
      <c r="F187" s="119" t="s">
        <v>1295</v>
      </c>
    </row>
    <row r="188">
      <c r="A188" s="120" t="str">
        <f>HYPERLINK("https://github.com/pytorch/pytorch/blob/f99ab991dcd3719ee25dd3377a53ea12e518308e/test/distributed/_composable/test_replicate_training.py#L1065", "TestReplicateCustomForwardMethod")</f>
        <v>TestReplicateCustomForwardMethod</v>
      </c>
      <c r="B188" s="25" t="s">
        <v>1569</v>
      </c>
      <c r="C188" s="25" t="s">
        <v>1578</v>
      </c>
      <c r="D188" s="25" t="s">
        <v>1571</v>
      </c>
      <c r="E188" s="121" t="b">
        <f>IF(E176=TRUE,TRUE,FALSE)</f>
        <v>1</v>
      </c>
      <c r="F188" s="119" t="s">
        <v>1295</v>
      </c>
    </row>
    <row r="189">
      <c r="A189" s="117" t="str">
        <f>HYPERLINK("https://github.com/pytorch/pytorch/blob/f99ab991dcd3719ee25dd3377a53ea12e518308e/test/distributed/_composable/test_replicate_training.py#L1113", "TestReplicateTPTraining")</f>
        <v>TestReplicateTPTraining</v>
      </c>
      <c r="B189" s="30" t="s">
        <v>1569</v>
      </c>
      <c r="C189" s="30" t="s">
        <v>1579</v>
      </c>
      <c r="D189" s="30" t="s">
        <v>1571</v>
      </c>
      <c r="E189" s="118" t="b">
        <f>IF(E176=TRUE,TRUE,FALSE)</f>
        <v>1</v>
      </c>
      <c r="F189" s="119" t="s">
        <v>1295</v>
      </c>
    </row>
    <row r="190">
      <c r="A190" s="120" t="str">
        <f>HYPERLINK("https://github.com/pytorch/pytorch/blob/f99ab991dcd3719ee25dd3377a53ea12e518308e/test/distributed/_composable/test_replicate_with_compiler.py#L77", "MultiProcessInductorTestCase")</f>
        <v>MultiProcessInductorTestCase</v>
      </c>
      <c r="B190" s="25" t="s">
        <v>1580</v>
      </c>
      <c r="C190" s="25" t="s">
        <v>1581</v>
      </c>
      <c r="D190" s="25" t="s">
        <v>1469</v>
      </c>
      <c r="E190" s="121" t="b">
        <f>IF(E176=TRUE,TRUE,FALSE)</f>
        <v>1</v>
      </c>
      <c r="F190" s="119" t="s">
        <v>1295</v>
      </c>
    </row>
    <row r="191">
      <c r="A191" s="117" t="str">
        <f>HYPERLINK("https://github.com/pytorch/pytorch/blob/f99ab991dcd3719ee25dd3377a53ea12e518308e/test/distributed/_composable/test_replicate_with_compiler.py#L84", "ReplicateTest")</f>
        <v>ReplicateTest</v>
      </c>
      <c r="B191" s="30" t="s">
        <v>1580</v>
      </c>
      <c r="C191" s="30" t="s">
        <v>1582</v>
      </c>
      <c r="D191" s="30" t="s">
        <v>1469</v>
      </c>
      <c r="E191" s="118" t="b">
        <f>IF(E176=TRUE,TRUE,FALSE)</f>
        <v>1</v>
      </c>
      <c r="F191" s="119" t="s">
        <v>1295</v>
      </c>
    </row>
    <row r="192">
      <c r="A192" s="120" t="str">
        <f>HYPERLINK("https://github.com/pytorch/pytorch/blob/f99ab991dcd3719ee25dd3377a53ea12e518308e/test/distributed/_composable/test_replicate_with_compiler.py#L390", "DDP_TP_Test")</f>
        <v>DDP_TP_Test</v>
      </c>
      <c r="B192" s="25" t="s">
        <v>1580</v>
      </c>
      <c r="C192" s="25" t="s">
        <v>1583</v>
      </c>
      <c r="D192" s="25" t="s">
        <v>1584</v>
      </c>
      <c r="E192" s="121" t="b">
        <f>IF(E176=TRUE,TRUE,FALSE)</f>
        <v>1</v>
      </c>
      <c r="F192" s="119" t="s">
        <v>1295</v>
      </c>
    </row>
    <row r="193">
      <c r="A193" s="117" t="str">
        <f>HYPERLINK("https://github.com/pytorch/pytorch/blob/f99ab991dcd3719ee25dd3377a53ea12e518308e/test/distributed/_composable/test_replicate_with_fsdp.py#L46", "ReplicateTest")</f>
        <v>ReplicateTest</v>
      </c>
      <c r="B193" s="30" t="s">
        <v>1585</v>
      </c>
      <c r="C193" s="30" t="s">
        <v>1586</v>
      </c>
      <c r="D193" s="30" t="s">
        <v>1587</v>
      </c>
      <c r="E193" s="118" t="b">
        <f>IF(E176=TRUE,TRUE,FALSE)</f>
        <v>1</v>
      </c>
      <c r="F193" s="119" t="s">
        <v>1295</v>
      </c>
    </row>
    <row r="194">
      <c r="A194" s="112" t="s">
        <v>1588</v>
      </c>
      <c r="B194" s="113"/>
      <c r="C194" s="113"/>
      <c r="D194" s="114"/>
      <c r="E194" s="115" t="b">
        <v>1</v>
      </c>
      <c r="F194" s="116"/>
    </row>
    <row r="195">
      <c r="A195" s="120" t="str">
        <f>HYPERLINK("https://github.com/pytorch/pytorch/blob/f99ab991dcd3719ee25dd3377a53ea12e518308e/test/distributed/_composable/test_composability/test_2d_composability.py#L113", "TestFullyShard2DTraining")</f>
        <v>TestFullyShard2DTraining</v>
      </c>
      <c r="B195" s="25" t="s">
        <v>1589</v>
      </c>
      <c r="C195" s="25" t="s">
        <v>1590</v>
      </c>
      <c r="D195" s="25" t="s">
        <v>1591</v>
      </c>
      <c r="E195" s="121" t="b">
        <f>IF(E194=TRUE,TRUE,FALSE)</f>
        <v>1</v>
      </c>
      <c r="F195" s="119" t="s">
        <v>1295</v>
      </c>
    </row>
    <row r="196">
      <c r="A196" s="117" t="str">
        <f>HYPERLINK("https://github.com/pytorch/pytorch/blob/f99ab991dcd3719ee25dd3377a53ea12e518308e/test/distributed/_composable/test_composability/test_2d_composability.py#L423", "TestFullyShard2DStateDict")</f>
        <v>TestFullyShard2DStateDict</v>
      </c>
      <c r="B196" s="30" t="s">
        <v>1589</v>
      </c>
      <c r="C196" s="30" t="s">
        <v>1592</v>
      </c>
      <c r="D196" s="30" t="s">
        <v>1591</v>
      </c>
      <c r="E196" s="118" t="b">
        <f>IF(E194=TRUE,TRUE,FALSE)</f>
        <v>1</v>
      </c>
      <c r="F196" s="119" t="s">
        <v>1295</v>
      </c>
    </row>
    <row r="197">
      <c r="A197" s="122" t="str">
        <f>HYPERLINK("https://github.com/pytorch/pytorch/blob/f99ab991dcd3719ee25dd3377a53ea12e518308e/test/distributed/_composable/test_composability/test_2d_composability.py#L475", "Test2dFSDP1ParallelIntegration")</f>
        <v>Test2dFSDP1ParallelIntegration</v>
      </c>
      <c r="B197" s="91" t="s">
        <v>1589</v>
      </c>
      <c r="C197" s="91" t="s">
        <v>1593</v>
      </c>
      <c r="D197" s="91" t="s">
        <v>1591</v>
      </c>
      <c r="E197" s="123" t="b">
        <v>0</v>
      </c>
      <c r="F197" s="119" t="s">
        <v>1295</v>
      </c>
    </row>
    <row r="198">
      <c r="A198" s="117" t="str">
        <f>HYPERLINK("https://github.com/pytorch/pytorch/blob/f99ab991dcd3719ee25dd3377a53ea12e518308e/test/distributed/_composable/test_composability/test_2d_composability.py#L557", "TestNew2dParallelTraining")</f>
        <v>TestNew2dParallelTraining</v>
      </c>
      <c r="B198" s="30" t="s">
        <v>1589</v>
      </c>
      <c r="C198" s="30" t="s">
        <v>1594</v>
      </c>
      <c r="D198" s="30" t="s">
        <v>1591</v>
      </c>
      <c r="E198" s="118" t="b">
        <f>IF(E194=TRUE,TRUE,FALSE)</f>
        <v>1</v>
      </c>
      <c r="F198" s="119" t="s">
        <v>1295</v>
      </c>
    </row>
    <row r="199">
      <c r="A199" s="120" t="str">
        <f>HYPERLINK("https://github.com/pytorch/pytorch/blob/f99ab991dcd3719ee25dd3377a53ea12e518308e/test/distributed/_composable/test_composability/test_2d_composability.py#L667", "TestNew2dParallelStateDict")</f>
        <v>TestNew2dParallelStateDict</v>
      </c>
      <c r="B199" s="25" t="s">
        <v>1589</v>
      </c>
      <c r="C199" s="25" t="s">
        <v>1595</v>
      </c>
      <c r="D199" s="25" t="s">
        <v>1591</v>
      </c>
      <c r="E199" s="121" t="b">
        <f>IF(E194=TRUE,TRUE,FALSE)</f>
        <v>1</v>
      </c>
      <c r="F199" s="119" t="s">
        <v>1295</v>
      </c>
    </row>
    <row r="200">
      <c r="A200" s="117" t="str">
        <f>HYPERLINK("https://github.com/pytorch/pytorch/blob/f99ab991dcd3719ee25dd3377a53ea12e518308e/test/distributed/_composable/test_composability/test_pp_composability.py#L87", "ComposabilityTest")</f>
        <v>ComposabilityTest</v>
      </c>
      <c r="B200" s="30" t="s">
        <v>1596</v>
      </c>
      <c r="C200" s="30" t="s">
        <v>1597</v>
      </c>
      <c r="D200" s="30" t="s">
        <v>1598</v>
      </c>
      <c r="E200" s="118" t="b">
        <f>IF(E194=TRUE,TRUE,FALSE)</f>
        <v>1</v>
      </c>
      <c r="F200" s="119" t="s">
        <v>1295</v>
      </c>
    </row>
    <row r="201">
      <c r="A201" s="135" t="str">
        <f>HYPERLINK("https://github.com/pytorch/pytorch/blob/f99ab991dcd3719ee25dd3377a53ea12e518308e/test/distributed/test_composability.py#L98", "ComposabilityTest")</f>
        <v>ComposabilityTest</v>
      </c>
      <c r="B201" s="135" t="s">
        <v>1599</v>
      </c>
      <c r="C201" s="1" t="s">
        <v>1600</v>
      </c>
      <c r="D201" s="1" t="s">
        <v>1601</v>
      </c>
      <c r="E201" s="136" t="b">
        <v>1</v>
      </c>
      <c r="F201" s="119" t="s">
        <v>1295</v>
      </c>
    </row>
    <row r="202">
      <c r="A202" s="107" t="s">
        <v>1602</v>
      </c>
      <c r="B202" s="108"/>
      <c r="C202" s="108"/>
      <c r="D202" s="109"/>
      <c r="E202" s="110" t="b">
        <v>1</v>
      </c>
      <c r="F202" s="111"/>
    </row>
    <row r="203">
      <c r="A203" s="112" t="s">
        <v>1603</v>
      </c>
      <c r="B203" s="113"/>
      <c r="C203" s="113"/>
      <c r="D203" s="114"/>
      <c r="E203" s="115" t="b">
        <v>1</v>
      </c>
      <c r="F203" s="116"/>
    </row>
    <row r="204">
      <c r="A204" s="120" t="str">
        <f>HYPERLINK("https://github.com/pytorch/pytorch/blob/f99ab991dcd3719ee25dd3377a53ea12e518308e/test/distributed/_composable/fsdp/test_fully_shard_autograd.py#L33", "TestFullyShardAutograd")</f>
        <v>TestFullyShardAutograd</v>
      </c>
      <c r="B204" s="25" t="s">
        <v>1604</v>
      </c>
      <c r="C204" s="25" t="s">
        <v>1605</v>
      </c>
      <c r="D204" s="25" t="s">
        <v>1606</v>
      </c>
      <c r="E204" s="121" t="b">
        <f>IF(E203=TRUE,TRUE,FALSE)</f>
        <v>1</v>
      </c>
      <c r="F204" s="119" t="s">
        <v>1295</v>
      </c>
    </row>
    <row r="205">
      <c r="A205" s="117" t="str">
        <f>HYPERLINK("https://github.com/pytorch/pytorch/blob/f99ab991dcd3719ee25dd3377a53ea12e518308e/test/distributed/_composable/fsdp/test_fully_shard_autograd.py#L245", "TestFullyShardPostAccGradHookMultiThread")</f>
        <v>TestFullyShardPostAccGradHookMultiThread</v>
      </c>
      <c r="B205" s="30" t="s">
        <v>1604</v>
      </c>
      <c r="C205" s="30" t="s">
        <v>1607</v>
      </c>
      <c r="D205" s="30" t="s">
        <v>1606</v>
      </c>
      <c r="E205" s="118" t="b">
        <f>IF(E203=TRUE,TRUE,FALSE)</f>
        <v>1</v>
      </c>
      <c r="F205" s="119" t="s">
        <v>1295</v>
      </c>
    </row>
    <row r="206">
      <c r="A206" s="120" t="str">
        <f>HYPERLINK("https://github.com/pytorch/pytorch/blob/f99ab991dcd3719ee25dd3377a53ea12e518308e/test/distributed/_composable/fsdp/test_fully_shard_autograd.py#L272", "TestFullyShardPostAccGradHookMultiProcess")</f>
        <v>TestFullyShardPostAccGradHookMultiProcess</v>
      </c>
      <c r="B206" s="25" t="s">
        <v>1604</v>
      </c>
      <c r="C206" s="25" t="s">
        <v>1608</v>
      </c>
      <c r="D206" s="25" t="s">
        <v>1606</v>
      </c>
      <c r="E206" s="121" t="b">
        <f>IF(E203=TRUE,TRUE,FALSE)</f>
        <v>1</v>
      </c>
      <c r="F206" s="119" t="s">
        <v>1295</v>
      </c>
    </row>
    <row r="207">
      <c r="A207" s="117" t="str">
        <f>HYPERLINK("https://github.com/pytorch/pytorch/blob/f99ab991dcd3719ee25dd3377a53ea12e518308e/test/distributed/_composable/fsdp/test_fully_shard_clip_grad_norm_.py#L32", "_TestClipGradNormBase")</f>
        <v>_TestClipGradNormBase</v>
      </c>
      <c r="B207" s="30" t="s">
        <v>1609</v>
      </c>
      <c r="C207" s="30" t="s">
        <v>1610</v>
      </c>
      <c r="D207" s="30" t="s">
        <v>1606</v>
      </c>
      <c r="E207" s="118" t="b">
        <f>IF(E203=TRUE,TRUE,FALSE)</f>
        <v>1</v>
      </c>
      <c r="F207" s="119" t="s">
        <v>1295</v>
      </c>
    </row>
    <row r="208">
      <c r="A208" s="135" t="str">
        <f>HYPERLINK("https://github.com/pytorch/pytorch/blob/f99ab991dcd3719ee25dd3377a53ea12e518308e/test/distributed/_composable/fsdp/test_fully_shard_clip_grad_norm_.py#L100", "TestClipGradNormWorldSize2")</f>
        <v>TestClipGradNormWorldSize2</v>
      </c>
      <c r="B208" s="1" t="s">
        <v>1609</v>
      </c>
      <c r="C208" s="1" t="s">
        <v>1611</v>
      </c>
      <c r="D208" s="1" t="s">
        <v>1567</v>
      </c>
      <c r="E208" s="136" t="b">
        <v>1</v>
      </c>
      <c r="F208" s="119" t="s">
        <v>1295</v>
      </c>
    </row>
    <row r="209">
      <c r="A209" s="135" t="str">
        <f>HYPERLINK("https://github.com/pytorch/pytorch/blob/f99ab991dcd3719ee25dd3377a53ea12e518308e/test/distributed/_composable/fsdp/test_fully_shard_clip_grad_norm_.py#L126", "TestClipGradNormWorldSize4")</f>
        <v>TestClipGradNormWorldSize4</v>
      </c>
      <c r="B209" s="1" t="s">
        <v>1609</v>
      </c>
      <c r="C209" s="1" t="s">
        <v>1612</v>
      </c>
      <c r="D209" s="1" t="s">
        <v>1567</v>
      </c>
      <c r="E209" s="136" t="b">
        <v>1</v>
      </c>
      <c r="F209" s="119" t="s">
        <v>1295</v>
      </c>
    </row>
    <row r="210">
      <c r="A210" s="112" t="s">
        <v>1613</v>
      </c>
      <c r="B210" s="113"/>
      <c r="C210" s="113"/>
      <c r="D210" s="114"/>
      <c r="E210" s="115" t="b">
        <v>1</v>
      </c>
      <c r="F210" s="116"/>
    </row>
    <row r="211">
      <c r="A211" s="120" t="str">
        <f>HYPERLINK("https://github.com/pytorch/pytorch/blob/f99ab991dcd3719ee25dd3377a53ea12e518308e/test/distributed/_composable/fsdp/test_fully_shard_comm.py#L88", "TestFullyShardCollectiveOps")</f>
        <v>TestFullyShardCollectiveOps</v>
      </c>
      <c r="B211" s="25" t="s">
        <v>1614</v>
      </c>
      <c r="C211" s="25" t="s">
        <v>1615</v>
      </c>
      <c r="D211" s="25" t="s">
        <v>1606</v>
      </c>
      <c r="E211" s="121" t="b">
        <f>IF(E210=TRUE,TRUE,FALSE)</f>
        <v>1</v>
      </c>
      <c r="F211" s="119" t="s">
        <v>1295</v>
      </c>
    </row>
    <row r="212">
      <c r="A212" s="117" t="str">
        <f>HYPERLINK("https://github.com/pytorch/pytorch/blob/f99ab991dcd3719ee25dd3377a53ea12e518308e/test/distributed/_composable/fsdp/test_fully_shard_comm.py#L331", "TestFullyShardCommunication")</f>
        <v>TestFullyShardCommunication</v>
      </c>
      <c r="B212" s="30" t="s">
        <v>1614</v>
      </c>
      <c r="C212" s="30" t="s">
        <v>1616</v>
      </c>
      <c r="D212" s="30" t="s">
        <v>1606</v>
      </c>
      <c r="E212" s="118" t="b">
        <f>IF(E210=TRUE,TRUE,FALSE)</f>
        <v>1</v>
      </c>
      <c r="F212" s="119" t="s">
        <v>1295</v>
      </c>
    </row>
    <row r="213">
      <c r="A213" s="120" t="str">
        <f>HYPERLINK("https://github.com/pytorch/pytorch/blob/f99ab991dcd3719ee25dd3377a53ea12e518308e/test/distributed/_composable/fsdp/test_fully_shard_comm.py#L618", "TestFullyShardPrefetch")</f>
        <v>TestFullyShardPrefetch</v>
      </c>
      <c r="B213" s="25" t="s">
        <v>1614</v>
      </c>
      <c r="C213" s="25" t="s">
        <v>1617</v>
      </c>
      <c r="D213" s="25" t="s">
        <v>1606</v>
      </c>
      <c r="E213" s="121" t="b">
        <f>IF(E210=TRUE,TRUE,FALSE)</f>
        <v>1</v>
      </c>
      <c r="F213" s="119" t="s">
        <v>1295</v>
      </c>
    </row>
    <row r="214">
      <c r="A214" s="117" t="str">
        <f>HYPERLINK("https://github.com/pytorch/pytorch/blob/f99ab991dcd3719ee25dd3377a53ea12e518308e/test/distributed/_composable/fsdp/test_fully_shard_comm.py#L1502", "TestFullyShardUnshardMultiProcess")</f>
        <v>TestFullyShardUnshardMultiProcess</v>
      </c>
      <c r="B214" s="30" t="s">
        <v>1614</v>
      </c>
      <c r="C214" s="30" t="s">
        <v>1618</v>
      </c>
      <c r="D214" s="30" t="s">
        <v>1606</v>
      </c>
      <c r="E214" s="118" t="b">
        <f>IF(E210=TRUE,TRUE,FALSE)</f>
        <v>1</v>
      </c>
      <c r="F214" s="119" t="s">
        <v>1295</v>
      </c>
    </row>
    <row r="215">
      <c r="A215" s="120" t="str">
        <f>HYPERLINK("https://github.com/pytorch/pytorch/blob/f99ab991dcd3719ee25dd3377a53ea12e518308e/test/distributed/_composable/fsdp/test_fully_shard_comm.py#L1585", "TestFullyShardUnshardMultiThread")</f>
        <v>TestFullyShardUnshardMultiThread</v>
      </c>
      <c r="B215" s="25" t="s">
        <v>1614</v>
      </c>
      <c r="C215" s="25" t="s">
        <v>1619</v>
      </c>
      <c r="D215" s="25" t="s">
        <v>1606</v>
      </c>
      <c r="E215" s="121" t="b">
        <f>IF(E210=TRUE,TRUE,FALSE)</f>
        <v>1</v>
      </c>
      <c r="F215" s="119" t="s">
        <v>1295</v>
      </c>
    </row>
    <row r="216">
      <c r="A216" s="117" t="str">
        <f>HYPERLINK("https://github.com/pytorch/pytorch/blob/f99ab991dcd3719ee25dd3377a53ea12e518308e/test/distributed/_composable/fsdp/test_fully_shard_comm.py#L1612", "TestFullyShardAllocFromPG")</f>
        <v>TestFullyShardAllocFromPG</v>
      </c>
      <c r="B216" s="30" t="s">
        <v>1614</v>
      </c>
      <c r="C216" s="30" t="s">
        <v>1620</v>
      </c>
      <c r="D216" s="30" t="s">
        <v>1621</v>
      </c>
      <c r="E216" s="118" t="b">
        <f>IF(E210=TRUE,TRUE,FALSE)</f>
        <v>1</v>
      </c>
      <c r="F216" s="119" t="s">
        <v>1295</v>
      </c>
    </row>
    <row r="217">
      <c r="A217" s="120" t="str">
        <f>HYPERLINK("https://github.com/pytorch/pytorch/blob/f99ab991dcd3719ee25dd3377a53ea12e518308e/test/distributed/_composable/fsdp/test_fully_shard_comm.py#L1683", "TestFullyShardForceSumReduction")</f>
        <v>TestFullyShardForceSumReduction</v>
      </c>
      <c r="B217" s="25" t="s">
        <v>1614</v>
      </c>
      <c r="C217" s="25" t="s">
        <v>1622</v>
      </c>
      <c r="D217" s="25" t="s">
        <v>1623</v>
      </c>
      <c r="E217" s="121" t="b">
        <f>IF(E210=TRUE,TRUE,FALSE)</f>
        <v>1</v>
      </c>
      <c r="F217" s="119" t="s">
        <v>1295</v>
      </c>
    </row>
    <row r="218">
      <c r="A218" s="117" t="str">
        <f>HYPERLINK("https://github.com/pytorch/pytorch/blob/f99ab991dcd3719ee25dd3377a53ea12e518308e/test/distributed/_composable/fsdp/test_fully_shard_comm.py#L1834", "TestFullyShardReduceOpWorldSize1")</f>
        <v>TestFullyShardReduceOpWorldSize1</v>
      </c>
      <c r="B218" s="30" t="s">
        <v>1614</v>
      </c>
      <c r="C218" s="30" t="s">
        <v>1624</v>
      </c>
      <c r="D218" s="30" t="s">
        <v>1606</v>
      </c>
      <c r="E218" s="118" t="b">
        <f>IF(E210=TRUE,TRUE,FALSE)</f>
        <v>1</v>
      </c>
      <c r="F218" s="119" t="s">
        <v>1295</v>
      </c>
    </row>
    <row r="219">
      <c r="A219" s="135" t="str">
        <f>HYPERLINK("https://github.com/pytorch/pytorch/blob/f99ab991dcd3719ee25dd3377a53ea12e518308e/test/distributed/_composable/fsdp/test_fully_shard_extensions.py#L170", "TestFullyShardAllGatherExtensionsCommon")</f>
        <v>TestFullyShardAllGatherExtensionsCommon</v>
      </c>
      <c r="B219" s="1" t="s">
        <v>1625</v>
      </c>
      <c r="C219" s="1" t="s">
        <v>1626</v>
      </c>
      <c r="D219" s="1" t="s">
        <v>1567</v>
      </c>
      <c r="E219" s="136" t="b">
        <v>1</v>
      </c>
      <c r="F219" s="1"/>
    </row>
    <row r="220">
      <c r="A220" s="135" t="str">
        <f>HYPERLINK("https://github.com/pytorch/pytorch/blob/f99ab991dcd3719ee25dd3377a53ea12e518308e/test/distributed/_composable/fsdp/test_fully_shard_extensions.py#L208", "TestFullyShardAllGatherExtensionsMultiProcess")</f>
        <v>TestFullyShardAllGatherExtensionsMultiProcess</v>
      </c>
      <c r="B220" s="1" t="s">
        <v>1625</v>
      </c>
      <c r="C220" s="1" t="s">
        <v>1627</v>
      </c>
      <c r="D220" s="1" t="s">
        <v>1567</v>
      </c>
      <c r="E220" s="136" t="b">
        <v>1</v>
      </c>
      <c r="F220" s="1"/>
    </row>
    <row r="221">
      <c r="A221" s="135" t="str">
        <f>HYPERLINK("https://github.com/pytorch/pytorch/blob/f99ab991dcd3719ee25dd3377a53ea12e518308e/test/distributed/_composable/fsdp/test_fully_shard_extensions.py#L257", "TestFullyShardAllGatherExtensionsMultiThread")</f>
        <v>TestFullyShardAllGatherExtensionsMultiThread</v>
      </c>
      <c r="B221" s="1" t="s">
        <v>1625</v>
      </c>
      <c r="C221" s="1" t="s">
        <v>1628</v>
      </c>
      <c r="D221" s="1" t="s">
        <v>1567</v>
      </c>
      <c r="E221" s="136" t="b">
        <v>1</v>
      </c>
      <c r="F221" s="1"/>
    </row>
    <row r="222">
      <c r="A222" s="112" t="s">
        <v>1629</v>
      </c>
      <c r="B222" s="113"/>
      <c r="C222" s="113"/>
      <c r="D222" s="114"/>
      <c r="E222" s="115" t="b">
        <v>1</v>
      </c>
      <c r="F222" s="116"/>
    </row>
    <row r="223">
      <c r="A223" s="120" t="str">
        <f>HYPERLINK("https://github.com/pytorch/pytorch/blob/f99ab991dcd3719ee25dd3377a53ea12e518308e/test/distributed/_composable/fsdp/test_fully_shard_compile.py#L73", "TestFullyShardCompileCompute")</f>
        <v>TestFullyShardCompileCompute</v>
      </c>
      <c r="B223" s="25" t="s">
        <v>1630</v>
      </c>
      <c r="C223" s="25" t="s">
        <v>1631</v>
      </c>
      <c r="D223" s="25" t="s">
        <v>1606</v>
      </c>
      <c r="E223" s="121" t="b">
        <v>1</v>
      </c>
      <c r="F223" s="119" t="s">
        <v>1295</v>
      </c>
    </row>
    <row r="224">
      <c r="A224" s="117" t="str">
        <f>HYPERLINK("https://github.com/pytorch/pytorch/blob/f99ab991dcd3719ee25dd3377a53ea12e518308e/test/distributed/_composable/fsdp/test_fully_shard_compile.py#L123", "TestFullyShardCompile")</f>
        <v>TestFullyShardCompile</v>
      </c>
      <c r="B224" s="30" t="s">
        <v>1630</v>
      </c>
      <c r="C224" s="30" t="s">
        <v>1632</v>
      </c>
      <c r="D224" s="30" t="s">
        <v>1606</v>
      </c>
      <c r="E224" s="118" t="b">
        <v>1</v>
      </c>
      <c r="F224" s="119" t="s">
        <v>1295</v>
      </c>
    </row>
    <row r="225">
      <c r="A225" s="120" t="str">
        <f>HYPERLINK("https://github.com/pytorch/pytorch/blob/f99ab991dcd3719ee25dd3377a53ea12e518308e/test/distributed/_composable/fsdp/test_fully_shard_frozen.py#L33", "TestFullyShardFrozen")</f>
        <v>TestFullyShardFrozen</v>
      </c>
      <c r="B225" s="25" t="s">
        <v>1633</v>
      </c>
      <c r="C225" s="25" t="s">
        <v>1634</v>
      </c>
      <c r="D225" s="25" t="s">
        <v>1606</v>
      </c>
      <c r="E225" s="121" t="b">
        <f>IF(E222=TRUE,TRUE,FALSE)</f>
        <v>1</v>
      </c>
      <c r="F225" s="119" t="s">
        <v>1295</v>
      </c>
    </row>
    <row r="226">
      <c r="A226" s="117" t="str">
        <f>HYPERLINK("https://github.com/pytorch/pytorch/blob/f99ab991dcd3719ee25dd3377a53ea12e518308e/test/distributed/_composable/fsdp/test_fully_shard_grad_scaler.py#L22", "TestFullyShardGradientScaler")</f>
        <v>TestFullyShardGradientScaler</v>
      </c>
      <c r="B226" s="30" t="s">
        <v>1635</v>
      </c>
      <c r="C226" s="30" t="s">
        <v>1636</v>
      </c>
      <c r="D226" s="30" t="s">
        <v>1606</v>
      </c>
      <c r="E226" s="118" t="b">
        <f>IF(E222=TRUE,TRUE,FALSE)</f>
        <v>1</v>
      </c>
      <c r="F226" s="119" t="s">
        <v>1295</v>
      </c>
    </row>
    <row r="227">
      <c r="A227" s="120" t="str">
        <f>HYPERLINK("https://github.com/pytorch/pytorch/blob/f99ab991dcd3719ee25dd3377a53ea12e518308e/test/distributed/_composable/fsdp/test_fully_shard_ignore_params.py#L212", "TestFullyShardIgnoreParams")</f>
        <v>TestFullyShardIgnoreParams</v>
      </c>
      <c r="B227" s="25" t="s">
        <v>1637</v>
      </c>
      <c r="C227" s="25" t="s">
        <v>1638</v>
      </c>
      <c r="D227" s="25" t="s">
        <v>1606</v>
      </c>
      <c r="E227" s="121" t="b">
        <f>IF(E222=TRUE,TRUE,FALSE)</f>
        <v>1</v>
      </c>
      <c r="F227" s="119" t="s">
        <v>1295</v>
      </c>
    </row>
    <row r="228">
      <c r="A228" s="112" t="s">
        <v>1639</v>
      </c>
      <c r="B228" s="113"/>
      <c r="C228" s="113"/>
      <c r="D228" s="114"/>
      <c r="E228" s="115" t="b">
        <v>1</v>
      </c>
      <c r="F228" s="142"/>
    </row>
    <row r="229">
      <c r="A229" s="117" t="str">
        <f>HYPERLINK("https://github.com/pytorch/pytorch/blob/f99ab991dcd3719ee25dd3377a53ea12e518308e/test/distributed/_composable/fsdp/test_fully_shard_init.py#L52", "TestFullyShardDeviceTensor")</f>
        <v>TestFullyShardDeviceTensor</v>
      </c>
      <c r="B229" s="30" t="s">
        <v>1640</v>
      </c>
      <c r="C229" s="30" t="s">
        <v>1641</v>
      </c>
      <c r="D229" s="30" t="s">
        <v>1606</v>
      </c>
      <c r="E229" s="118" t="b">
        <f>IF(E228=TRUE,TRUE,FALSE)</f>
        <v>1</v>
      </c>
      <c r="F229" s="119" t="s">
        <v>1295</v>
      </c>
    </row>
    <row r="230">
      <c r="A230" s="120" t="str">
        <f>HYPERLINK("https://github.com/pytorch/pytorch/blob/f99ab991dcd3719ee25dd3377a53ea12e518308e/test/distributed/_composable/fsdp/test_fully_shard_init.py#L87", "TestFullyShardDeviceDTensor")</f>
        <v>TestFullyShardDeviceDTensor</v>
      </c>
      <c r="B230" s="30" t="s">
        <v>1640</v>
      </c>
      <c r="C230" s="25" t="s">
        <v>1642</v>
      </c>
      <c r="D230" s="25" t="s">
        <v>1606</v>
      </c>
      <c r="E230" s="121" t="b">
        <f>IF(E228=TRUE,TRUE,FALSE)</f>
        <v>1</v>
      </c>
      <c r="F230" s="119" t="s">
        <v>1295</v>
      </c>
    </row>
    <row r="231">
      <c r="A231" s="117" t="str">
        <f>HYPERLINK("https://github.com/pytorch/pytorch/blob/f99ab991dcd3719ee25dd3377a53ea12e518308e/test/distributed/_composable/fsdp/test_fully_shard_init.py#L158", "TestFullyShardMeshArg")</f>
        <v>TestFullyShardMeshArg</v>
      </c>
      <c r="B231" s="30" t="s">
        <v>1640</v>
      </c>
      <c r="C231" s="30" t="s">
        <v>1643</v>
      </c>
      <c r="D231" s="30" t="s">
        <v>1606</v>
      </c>
      <c r="E231" s="118" t="b">
        <f>IF(E228=TRUE,TRUE,FALSE)</f>
        <v>1</v>
      </c>
      <c r="F231" s="119" t="s">
        <v>1295</v>
      </c>
    </row>
    <row r="232">
      <c r="A232" s="120" t="str">
        <f>HYPERLINK("https://github.com/pytorch/pytorch/blob/f99ab991dcd3719ee25dd3377a53ea12e518308e/test/distributed/_composable/fsdp/test_fully_shard_init.py#L180", "TestFullyShardManagedModulesAndStates")</f>
        <v>TestFullyShardManagedModulesAndStates</v>
      </c>
      <c r="B232" s="30" t="s">
        <v>1640</v>
      </c>
      <c r="C232" s="25" t="s">
        <v>1644</v>
      </c>
      <c r="D232" s="25" t="s">
        <v>1606</v>
      </c>
      <c r="E232" s="121" t="b">
        <f>IF(E228=TRUE,TRUE,FALSE)</f>
        <v>1</v>
      </c>
      <c r="F232" s="119" t="s">
        <v>1295</v>
      </c>
    </row>
    <row r="233">
      <c r="A233" s="117" t="str">
        <f>HYPERLINK("https://github.com/pytorch/pytorch/blob/f99ab991dcd3719ee25dd3377a53ea12e518308e/test/distributed/_composable/fsdp/test_fully_shard_init.py#L295", "TestFullyShardParamModuleInfos")</f>
        <v>TestFullyShardParamModuleInfos</v>
      </c>
      <c r="B233" s="30" t="s">
        <v>1640</v>
      </c>
      <c r="C233" s="30" t="s">
        <v>1645</v>
      </c>
      <c r="D233" s="30" t="s">
        <v>1606</v>
      </c>
      <c r="E233" s="118" t="b">
        <f>IF(E228=TRUE,TRUE,FALSE)</f>
        <v>1</v>
      </c>
      <c r="F233" s="119" t="s">
        <v>1295</v>
      </c>
    </row>
    <row r="234">
      <c r="A234" s="120" t="str">
        <f>HYPERLINK("https://github.com/pytorch/pytorch/blob/f99ab991dcd3719ee25dd3377a53ea12e518308e/test/distributed/_composable/fsdp/test_fully_shard_init.py#L367", "TestFullyShardShardedParameterTensor")</f>
        <v>TestFullyShardShardedParameterTensor</v>
      </c>
      <c r="B234" s="30" t="s">
        <v>1640</v>
      </c>
      <c r="C234" s="25" t="s">
        <v>1646</v>
      </c>
      <c r="D234" s="25" t="s">
        <v>1606</v>
      </c>
      <c r="E234" s="121" t="b">
        <f>IF(E228=TRUE,TRUE,FALSE)</f>
        <v>1</v>
      </c>
      <c r="F234" s="119" t="s">
        <v>1295</v>
      </c>
    </row>
    <row r="235">
      <c r="A235" s="117" t="str">
        <f>HYPERLINK("https://github.com/pytorch/pytorch/blob/f99ab991dcd3719ee25dd3377a53ea12e518308e/test/distributed/_composable/fsdp/test_fully_shard_init.py#L425", "TestFullyShardShardedParameterDTensor")</f>
        <v>TestFullyShardShardedParameterDTensor</v>
      </c>
      <c r="B235" s="30" t="s">
        <v>1640</v>
      </c>
      <c r="C235" s="30" t="s">
        <v>1647</v>
      </c>
      <c r="D235" s="30" t="s">
        <v>1606</v>
      </c>
      <c r="E235" s="118" t="b">
        <f>IF(E228=TRUE,TRUE,FALSE)</f>
        <v>1</v>
      </c>
      <c r="F235" s="119" t="s">
        <v>1295</v>
      </c>
    </row>
    <row r="236">
      <c r="A236" s="120" t="str">
        <f>HYPERLINK("https://github.com/pytorch/pytorch/blob/f99ab991dcd3719ee25dd3377a53ea12e518308e/test/distributed/_composable/fsdp/test_fully_shard_init.py#L470", "TestFullyShardLazyInit")</f>
        <v>TestFullyShardLazyInit</v>
      </c>
      <c r="B236" s="30" t="s">
        <v>1640</v>
      </c>
      <c r="C236" s="25" t="s">
        <v>1648</v>
      </c>
      <c r="D236" s="25" t="s">
        <v>1606</v>
      </c>
      <c r="E236" s="121" t="b">
        <f>IF(E228=TRUE,TRUE,FALSE)</f>
        <v>1</v>
      </c>
      <c r="F236" s="119" t="s">
        <v>1295</v>
      </c>
    </row>
    <row r="237">
      <c r="A237" s="117" t="str">
        <f>HYPERLINK("https://github.com/pytorch/pytorch/blob/f99ab991dcd3719ee25dd3377a53ea12e518308e/test/distributed/_composable/fsdp/test_fully_shard_init.py#L618", "TestFullyShardMetaDeviceInit")</f>
        <v>TestFullyShardMetaDeviceInit</v>
      </c>
      <c r="B237" s="30" t="s">
        <v>1640</v>
      </c>
      <c r="C237" s="30" t="s">
        <v>1649</v>
      </c>
      <c r="D237" s="30" t="s">
        <v>1606</v>
      </c>
      <c r="E237" s="118" t="b">
        <f>IF(E228=TRUE,TRUE,FALSE)</f>
        <v>1</v>
      </c>
      <c r="F237" s="119" t="s">
        <v>1295</v>
      </c>
    </row>
    <row r="238">
      <c r="A238" s="120" t="str">
        <f>HYPERLINK("https://github.com/pytorch/pytorch/blob/f99ab991dcd3719ee25dd3377a53ea12e518308e/test/distributed/_composable/fsdp/test_fully_shard_init.py#L832", "TestFullyShardProcessGroupInit")</f>
        <v>TestFullyShardProcessGroupInit</v>
      </c>
      <c r="B238" s="30" t="s">
        <v>1640</v>
      </c>
      <c r="C238" s="25" t="s">
        <v>1650</v>
      </c>
      <c r="D238" s="25" t="s">
        <v>1606</v>
      </c>
      <c r="E238" s="121" t="b">
        <f>IF(E228=TRUE,TRUE,FALSE)</f>
        <v>1</v>
      </c>
      <c r="F238" s="119" t="s">
        <v>1295</v>
      </c>
    </row>
    <row r="239">
      <c r="A239" s="117" t="str">
        <f>HYPERLINK("https://github.com/pytorch/pytorch/blob/f99ab991dcd3719ee25dd3377a53ea12e518308e/test/distributed/_composable/fsdp/test_fully_shard_init.py#L971", "TestFullyShardHSDPBroadcast")</f>
        <v>TestFullyShardHSDPBroadcast</v>
      </c>
      <c r="B239" s="30" t="s">
        <v>1640</v>
      </c>
      <c r="C239" s="30" t="s">
        <v>1651</v>
      </c>
      <c r="D239" s="30" t="s">
        <v>1606</v>
      </c>
      <c r="E239" s="118" t="b">
        <f>IF(E228=TRUE,TRUE,FALSE)</f>
        <v>1</v>
      </c>
      <c r="F239" s="119" t="s">
        <v>1295</v>
      </c>
    </row>
    <row r="240">
      <c r="A240" s="120" t="str">
        <f>HYPERLINK("https://github.com/pytorch/pytorch/blob/f99ab991dcd3719ee25dd3377a53ea12e518308e/test/distributed/_composable/fsdp/test_fully_shard_init.py#L1040", "TestHSDPWithCustomHook")</f>
        <v>TestHSDPWithCustomHook</v>
      </c>
      <c r="B240" s="30" t="s">
        <v>1640</v>
      </c>
      <c r="C240" s="25" t="s">
        <v>1652</v>
      </c>
      <c r="D240" s="25" t="s">
        <v>1606</v>
      </c>
      <c r="E240" s="121" t="b">
        <f>IF(E228=TRUE,TRUE,FALSE)</f>
        <v>1</v>
      </c>
      <c r="F240" s="119" t="s">
        <v>1295</v>
      </c>
    </row>
    <row r="241">
      <c r="A241" s="117" t="str">
        <f>HYPERLINK("https://github.com/pytorch/pytorch/blob/f99ab991dcd3719ee25dd3377a53ea12e518308e/test/distributed/_composable/fsdp/test_fully_shard_init.py#L1145", "TestFullyShardShardPlacementFn")</f>
        <v>TestFullyShardShardPlacementFn</v>
      </c>
      <c r="B241" s="30" t="s">
        <v>1640</v>
      </c>
      <c r="C241" s="30" t="s">
        <v>1653</v>
      </c>
      <c r="D241" s="30" t="s">
        <v>1606</v>
      </c>
      <c r="E241" s="118" t="b">
        <f>IF(E228=TRUE,TRUE,FALSE)</f>
        <v>1</v>
      </c>
      <c r="F241" s="119" t="s">
        <v>1295</v>
      </c>
    </row>
    <row r="242">
      <c r="A242" s="120" t="str">
        <f>HYPERLINK("https://github.com/pytorch/pytorch/blob/f99ab991dcd3719ee25dd3377a53ea12e518308e/test/distributed/_composable/fsdp/test_fully_shard_init.py#L1289", "TestFullyShardOldImport")</f>
        <v>TestFullyShardOldImport</v>
      </c>
      <c r="B242" s="30" t="s">
        <v>1640</v>
      </c>
      <c r="C242" s="25" t="s">
        <v>1654</v>
      </c>
      <c r="D242" s="25" t="s">
        <v>1606</v>
      </c>
      <c r="E242" s="121" t="b">
        <f>IF(E228=TRUE,TRUE,FALSE)</f>
        <v>1</v>
      </c>
      <c r="F242" s="119" t="s">
        <v>1295</v>
      </c>
    </row>
    <row r="243">
      <c r="A243" s="117" t="str">
        <f>HYPERLINK("https://github.com/pytorch/pytorch/blob/f99ab991dcd3719ee25dd3377a53ea12e518308e/test/distributed/_composable/fsdp/test_fully_shard_init.py#L1309", "TestFullyShardMixedDtypeParam")</f>
        <v>TestFullyShardMixedDtypeParam</v>
      </c>
      <c r="B243" s="30" t="s">
        <v>1640</v>
      </c>
      <c r="C243" s="30" t="s">
        <v>1655</v>
      </c>
      <c r="D243" s="30" t="s">
        <v>1606</v>
      </c>
      <c r="E243" s="118" t="b">
        <f>IF(E228=TRUE,TRUE,FALSE)</f>
        <v>1</v>
      </c>
      <c r="F243" s="119" t="s">
        <v>1295</v>
      </c>
    </row>
    <row r="244">
      <c r="A244" s="112" t="s">
        <v>1656</v>
      </c>
      <c r="B244" s="113"/>
      <c r="C244" s="113"/>
      <c r="D244" s="114"/>
      <c r="E244" s="115" t="b">
        <v>1</v>
      </c>
      <c r="F244" s="116"/>
    </row>
    <row r="245">
      <c r="A245" s="120" t="str">
        <f>HYPERLINK("https://github.com/pytorch/pytorch/blob/f99ab991dcd3719ee25dd3377a53ea12e518308e/test/distributed/_composable/fsdp/test_fully_shard_logging.py#L24", "LoggingTests")</f>
        <v>LoggingTests</v>
      </c>
      <c r="B245" s="25" t="s">
        <v>1657</v>
      </c>
      <c r="C245" s="25" t="s">
        <v>1658</v>
      </c>
      <c r="D245" s="25" t="s">
        <v>1606</v>
      </c>
      <c r="E245" s="121" t="b">
        <f>IF(E244=TRUE,TRUE,FALSE)</f>
        <v>1</v>
      </c>
      <c r="F245" s="119" t="s">
        <v>1295</v>
      </c>
    </row>
    <row r="246">
      <c r="A246" s="117" t="str">
        <f>HYPERLINK("https://github.com/pytorch/pytorch/blob/f99ab991dcd3719ee25dd3377a53ea12e518308e/test/distributed/_composable/fsdp/test_fully_shard_memory.py#L27", "TestFullyShardMemory")</f>
        <v>TestFullyShardMemory</v>
      </c>
      <c r="B246" s="25" t="s">
        <v>1657</v>
      </c>
      <c r="C246" s="30" t="s">
        <v>1659</v>
      </c>
      <c r="D246" s="30" t="s">
        <v>1660</v>
      </c>
      <c r="E246" s="118" t="b">
        <f>IF(E244=TRUE,TRUE,FALSE)</f>
        <v>1</v>
      </c>
      <c r="F246" s="119" t="s">
        <v>1295</v>
      </c>
    </row>
    <row r="247">
      <c r="A247" s="112" t="s">
        <v>1661</v>
      </c>
      <c r="B247" s="113"/>
      <c r="C247" s="113"/>
      <c r="D247" s="114"/>
      <c r="E247" s="115" t="b">
        <v>1</v>
      </c>
      <c r="F247" s="116"/>
    </row>
    <row r="248">
      <c r="A248" s="120" t="str">
        <f>HYPERLINK("https://github.com/pytorch/pytorch/blob/f99ab991dcd3719ee25dd3377a53ea12e518308e/test/distributed/_composable/fsdp/test_fully_shard_mixed_precision.py#L41", "TestFullyShardMixedPrecisionTraining")</f>
        <v>TestFullyShardMixedPrecisionTraining</v>
      </c>
      <c r="B248" s="25" t="s">
        <v>1662</v>
      </c>
      <c r="C248" s="25" t="s">
        <v>1663</v>
      </c>
      <c r="D248" s="25" t="s">
        <v>1606</v>
      </c>
      <c r="E248" s="121" t="b">
        <f>IF(E247=TRUE,TRUE,FALSE)</f>
        <v>1</v>
      </c>
      <c r="F248" s="119" t="s">
        <v>1295</v>
      </c>
    </row>
    <row r="249">
      <c r="A249" s="117" t="str">
        <f>HYPERLINK("https://github.com/pytorch/pytorch/blob/f99ab991dcd3719ee25dd3377a53ea12e518308e/test/distributed/_composable/fsdp/test_fully_shard_mixed_precision.py#L392", "TestFullyShardMixedPrecisionCasts")</f>
        <v>TestFullyShardMixedPrecisionCasts</v>
      </c>
      <c r="B249" s="30" t="s">
        <v>1662</v>
      </c>
      <c r="C249" s="30" t="s">
        <v>1664</v>
      </c>
      <c r="D249" s="30" t="s">
        <v>1606</v>
      </c>
      <c r="E249" s="118" t="b">
        <f>IF(E247=TRUE,TRUE,FALSE)</f>
        <v>1</v>
      </c>
      <c r="F249" s="142" t="s">
        <v>1665</v>
      </c>
    </row>
    <row r="250">
      <c r="A250" s="120" t="str">
        <f>HYPERLINK("https://github.com/pytorch/pytorch/blob/f99ab991dcd3719ee25dd3377a53ea12e518308e/test/distributed/_composable/fsdp/test_fully_shard_overlap.py#L35", "TestFullyShardOverlap")</f>
        <v>TestFullyShardOverlap</v>
      </c>
      <c r="B250" s="25" t="s">
        <v>1666</v>
      </c>
      <c r="C250" s="25" t="s">
        <v>1667</v>
      </c>
      <c r="D250" s="25" t="s">
        <v>1606</v>
      </c>
      <c r="E250" s="121" t="b">
        <f>IF(E247=TRUE,TRUE,FALSE)</f>
        <v>1</v>
      </c>
      <c r="F250" s="119" t="s">
        <v>1295</v>
      </c>
    </row>
    <row r="251">
      <c r="A251" s="112" t="s">
        <v>1668</v>
      </c>
      <c r="B251" s="113"/>
      <c r="C251" s="113"/>
      <c r="D251" s="114"/>
      <c r="E251" s="115" t="b">
        <v>1</v>
      </c>
      <c r="F251" s="116"/>
    </row>
    <row r="252">
      <c r="A252" s="117" t="str">
        <f>HYPERLINK("https://github.com/pytorch/pytorch/blob/f99ab991dcd3719ee25dd3377a53ea12e518308e/test/distributed/_composable/fsdp/test_fully_shard_state.py#L11", "TestFullyShardState")</f>
        <v>TestFullyShardState</v>
      </c>
      <c r="B252" s="30" t="s">
        <v>1669</v>
      </c>
      <c r="C252" s="30" t="s">
        <v>1670</v>
      </c>
      <c r="D252" s="30" t="s">
        <v>1606</v>
      </c>
      <c r="E252" s="118" t="b">
        <f>IF(E251=TRUE,TRUE,FALSE)</f>
        <v>1</v>
      </c>
      <c r="F252" s="119" t="s">
        <v>1295</v>
      </c>
    </row>
    <row r="253">
      <c r="A253" s="120" t="str">
        <f>HYPERLINK("https://github.com/pytorch/pytorch/blob/f99ab991dcd3719ee25dd3377a53ea12e518308e/test/distributed/_composable/fsdp/test_fully_shard_state_dict.py#L36", "TestFullyShardStateDictMultiProcess")</f>
        <v>TestFullyShardStateDictMultiProcess</v>
      </c>
      <c r="B253" s="25" t="s">
        <v>1671</v>
      </c>
      <c r="C253" s="25" t="s">
        <v>1672</v>
      </c>
      <c r="D253" s="25" t="s">
        <v>1673</v>
      </c>
      <c r="E253" s="121" t="b">
        <f>IF(E251=TRUE,TRUE,FALSE)</f>
        <v>1</v>
      </c>
      <c r="F253" s="119" t="s">
        <v>1295</v>
      </c>
    </row>
    <row r="254">
      <c r="A254" s="117" t="str">
        <f>HYPERLINK("https://github.com/pytorch/pytorch/blob/f99ab991dcd3719ee25dd3377a53ea12e518308e/test/distributed/_composable/fsdp/test_fully_shard_state_dict.py#L397", "TestFullyShardStateDictMultiThread")</f>
        <v>TestFullyShardStateDictMultiThread</v>
      </c>
      <c r="B254" s="30" t="s">
        <v>1671</v>
      </c>
      <c r="C254" s="30" t="s">
        <v>1674</v>
      </c>
      <c r="D254" s="30" t="s">
        <v>1606</v>
      </c>
      <c r="E254" s="118" t="b">
        <f>IF(E251=TRUE,TRUE,FALSE)</f>
        <v>1</v>
      </c>
      <c r="F254" s="119" t="s">
        <v>1295</v>
      </c>
    </row>
    <row r="255">
      <c r="A255" s="112" t="s">
        <v>1675</v>
      </c>
      <c r="B255" s="113"/>
      <c r="C255" s="113"/>
      <c r="D255" s="114"/>
      <c r="E255" s="115" t="b">
        <v>1</v>
      </c>
      <c r="F255" s="116"/>
    </row>
    <row r="256">
      <c r="A256" s="120" t="str">
        <f>HYPERLINK("https://github.com/pytorch/pytorch/blob/f99ab991dcd3719ee25dd3377a53ea12e518308e/test/distributed/_composable/fsdp/test_fully_shard_training.py#L82", "TestFullyShardForwardInputs")</f>
        <v>TestFullyShardForwardInputs</v>
      </c>
      <c r="B256" s="25" t="s">
        <v>1676</v>
      </c>
      <c r="C256" s="25" t="s">
        <v>1677</v>
      </c>
      <c r="D256" s="25" t="s">
        <v>1606</v>
      </c>
      <c r="E256" s="121" t="b">
        <f>IF(E255=TRUE,TRUE,FALSE)</f>
        <v>1</v>
      </c>
      <c r="F256" s="133"/>
    </row>
    <row r="257">
      <c r="A257" s="117" t="str">
        <f>HYPERLINK("https://github.com/pytorch/pytorch/blob/f99ab991dcd3719ee25dd3377a53ea12e518308e/test/distributed/_composable/fsdp/test_fully_shard_training.py#L117", "TestFullyShardRegisteredParams")</f>
        <v>TestFullyShardRegisteredParams</v>
      </c>
      <c r="B257" s="30" t="s">
        <v>1676</v>
      </c>
      <c r="C257" s="30" t="s">
        <v>1678</v>
      </c>
      <c r="D257" s="30" t="s">
        <v>1606</v>
      </c>
      <c r="E257" s="118" t="b">
        <f>IF(E255=TRUE,TRUE,FALSE)</f>
        <v>1</v>
      </c>
      <c r="F257" s="134"/>
    </row>
    <row r="258">
      <c r="A258" s="120" t="str">
        <f>HYPERLINK("https://github.com/pytorch/pytorch/blob/f99ab991dcd3719ee25dd3377a53ea12e518308e/test/distributed/_composable/fsdp/test_fully_shard_training.py#L230", "TestFullyShardCastAfterInit")</f>
        <v>TestFullyShardCastAfterInit</v>
      </c>
      <c r="B258" s="30" t="s">
        <v>1676</v>
      </c>
      <c r="C258" s="25" t="s">
        <v>1679</v>
      </c>
      <c r="D258" s="25" t="s">
        <v>1606</v>
      </c>
      <c r="E258" s="121" t="b">
        <f>IF(E255=TRUE,TRUE,FALSE)</f>
        <v>1</v>
      </c>
      <c r="F258" s="133"/>
    </row>
    <row r="259">
      <c r="A259" s="117" t="str">
        <f>HYPERLINK("https://github.com/pytorch/pytorch/blob/f99ab991dcd3719ee25dd3377a53ea12e518308e/test/distributed/_composable/fsdp/test_fully_shard_training.py#L278", "TestFullyShard1DTrainingCore")</f>
        <v>TestFullyShard1DTrainingCore</v>
      </c>
      <c r="B259" s="30" t="s">
        <v>1676</v>
      </c>
      <c r="C259" s="30" t="s">
        <v>1680</v>
      </c>
      <c r="D259" s="30" t="s">
        <v>1681</v>
      </c>
      <c r="E259" s="118" t="b">
        <f>IF(E255=TRUE,TRUE,FALSE)</f>
        <v>1</v>
      </c>
      <c r="F259" s="134"/>
    </row>
    <row r="260">
      <c r="A260" s="120" t="str">
        <f>HYPERLINK("https://github.com/pytorch/pytorch/blob/f99ab991dcd3719ee25dd3377a53ea12e518308e/test/distributed/_composable/fsdp/test_fully_shard_training.py#L705", "TestFullyShard1DTrainingCompose")</f>
        <v>TestFullyShard1DTrainingCompose</v>
      </c>
      <c r="B260" s="30" t="s">
        <v>1676</v>
      </c>
      <c r="C260" s="25" t="s">
        <v>1682</v>
      </c>
      <c r="D260" s="25" t="s">
        <v>1606</v>
      </c>
      <c r="E260" s="121" t="b">
        <f>IF(E255=TRUE,TRUE,FALSE)</f>
        <v>1</v>
      </c>
      <c r="F260" s="133"/>
    </row>
    <row r="261">
      <c r="A261" s="117" t="str">
        <f>HYPERLINK("https://github.com/pytorch/pytorch/blob/f99ab991dcd3719ee25dd3377a53ea12e518308e/test/distributed/_composable/fsdp/test_fully_shard_training.py#L885", "TestFullyShardShardPlacementFnMultiProcess")</f>
        <v>TestFullyShardShardPlacementFnMultiProcess</v>
      </c>
      <c r="B261" s="30" t="s">
        <v>1676</v>
      </c>
      <c r="C261" s="30" t="s">
        <v>1683</v>
      </c>
      <c r="D261" s="30" t="s">
        <v>1606</v>
      </c>
      <c r="E261" s="118" t="b">
        <f>IF(E255=TRUE,TRUE,FALSE)</f>
        <v>1</v>
      </c>
      <c r="F261" s="134"/>
    </row>
    <row r="262">
      <c r="A262" s="120" t="str">
        <f>HYPERLINK("https://github.com/pytorch/pytorch/blob/f99ab991dcd3719ee25dd3377a53ea12e518308e/test/distributed/_composable/fsdp/test_fully_shard_training.py#L936", "TestFullyShardShardPlacementFnMultiThread")</f>
        <v>TestFullyShardShardPlacementFnMultiThread</v>
      </c>
      <c r="B262" s="30" t="s">
        <v>1676</v>
      </c>
      <c r="C262" s="25" t="s">
        <v>1684</v>
      </c>
      <c r="D262" s="25" t="s">
        <v>1606</v>
      </c>
      <c r="E262" s="121" t="b">
        <f>IF(E255=TRUE,TRUE,FALSE)</f>
        <v>1</v>
      </c>
      <c r="F262" s="133"/>
    </row>
    <row r="263">
      <c r="A263" s="117" t="str">
        <f>HYPERLINK("https://github.com/pytorch/pytorch/blob/f99ab991dcd3719ee25dd3377a53ea12e518308e/test/distributed/_composable/fsdp/test_fully_shard_training.py#L975", "TestFullyShardSharedParams")</f>
        <v>TestFullyShardSharedParams</v>
      </c>
      <c r="B263" s="30" t="s">
        <v>1676</v>
      </c>
      <c r="C263" s="30" t="s">
        <v>1685</v>
      </c>
      <c r="D263" s="30" t="s">
        <v>1606</v>
      </c>
      <c r="E263" s="118" t="b">
        <f>IF(E255=TRUE,TRUE,FALSE)</f>
        <v>1</v>
      </c>
      <c r="F263" s="134"/>
    </row>
    <row r="264">
      <c r="A264" s="120" t="str">
        <f>HYPERLINK("https://github.com/pytorch/pytorch/blob/f99ab991dcd3719ee25dd3377a53ea12e518308e/test/distributed/_composable/fsdp/test_fully_shard_training.py#L1029", "TestFullyShardGradientAccumulation")</f>
        <v>TestFullyShardGradientAccumulation</v>
      </c>
      <c r="B264" s="30" t="s">
        <v>1676</v>
      </c>
      <c r="C264" s="25" t="s">
        <v>1686</v>
      </c>
      <c r="D264" s="25" t="s">
        <v>1606</v>
      </c>
      <c r="E264" s="121" t="b">
        <f>IF(E255=TRUE,TRUE,FALSE)</f>
        <v>1</v>
      </c>
      <c r="F264" s="133"/>
    </row>
    <row r="265">
      <c r="A265" s="117" t="str">
        <f>HYPERLINK("https://github.com/pytorch/pytorch/blob/f99ab991dcd3719ee25dd3377a53ea12e518308e/test/distributed/_composable/fsdp/test_fully_shard_training.py#L1294", "TestFullyShardNDTraining")</f>
        <v>TestFullyShardNDTraining</v>
      </c>
      <c r="B265" s="30" t="s">
        <v>1676</v>
      </c>
      <c r="C265" s="30" t="s">
        <v>1687</v>
      </c>
      <c r="D265" s="30" t="s">
        <v>1606</v>
      </c>
      <c r="E265" s="118" t="b">
        <f>IF(E255=TRUE,TRUE,FALSE)</f>
        <v>1</v>
      </c>
      <c r="F265" s="134"/>
    </row>
    <row r="266">
      <c r="A266" s="120" t="str">
        <f>HYPERLINK("https://github.com/pytorch/pytorch/blob/f99ab991dcd3719ee25dd3377a53ea12e518308e/test/distributed/_composable/fsdp/test_fully_shard_training.py#L1378", "TestFullyShardHSDP3DTraining")</f>
        <v>TestFullyShardHSDP3DTraining</v>
      </c>
      <c r="B266" s="30" t="s">
        <v>1676</v>
      </c>
      <c r="C266" s="25" t="s">
        <v>1688</v>
      </c>
      <c r="D266" s="25" t="s">
        <v>1606</v>
      </c>
      <c r="E266" s="121" t="b">
        <f>IF(E255=TRUE,TRUE,FALSE)</f>
        <v>1</v>
      </c>
      <c r="F266" s="133"/>
    </row>
    <row r="267">
      <c r="A267" s="117" t="str">
        <f>HYPERLINK("https://github.com/pytorch/pytorch/blob/f99ab991dcd3719ee25dd3377a53ea12e518308e/test/distributed/_composable/fsdp/test_fully_shard_training.py#L1462", "TestFullyShardHSDPTraining")</f>
        <v>TestFullyShardHSDPTraining</v>
      </c>
      <c r="B267" s="30" t="s">
        <v>1676</v>
      </c>
      <c r="C267" s="30" t="s">
        <v>1689</v>
      </c>
      <c r="D267" s="30" t="s">
        <v>1606</v>
      </c>
      <c r="E267" s="118" t="b">
        <f>IF(E255=TRUE,TRUE,FALSE)</f>
        <v>1</v>
      </c>
      <c r="F267" s="134"/>
    </row>
    <row r="268">
      <c r="A268" s="120" t="str">
        <f>HYPERLINK("https://github.com/pytorch/pytorch/blob/f99ab991dcd3719ee25dd3377a53ea12e518308e/test/distributed/_composable/fsdp/test_fully_shard_training.py#L1556", "TestFullyShardCustomForwardMethod")</f>
        <v>TestFullyShardCustomForwardMethod</v>
      </c>
      <c r="B268" s="30" t="s">
        <v>1676</v>
      </c>
      <c r="C268" s="25" t="s">
        <v>1578</v>
      </c>
      <c r="D268" s="25" t="s">
        <v>1606</v>
      </c>
      <c r="E268" s="121" t="b">
        <f>IF(E255=TRUE,TRUE,FALSE)</f>
        <v>1</v>
      </c>
      <c r="F268" s="133"/>
    </row>
    <row r="269">
      <c r="A269" s="117" t="str">
        <f>HYPERLINK("https://github.com/pytorch/pytorch/blob/f99ab991dcd3719ee25dd3377a53ea12e518308e/test/distributed/_composable/fsdp/test_fully_shard_training.py#L1609", "TestFullyShardShareCommContext")</f>
        <v>TestFullyShardShareCommContext</v>
      </c>
      <c r="B269" s="30" t="s">
        <v>1676</v>
      </c>
      <c r="C269" s="30" t="s">
        <v>1690</v>
      </c>
      <c r="D269" s="30" t="s">
        <v>1606</v>
      </c>
      <c r="E269" s="118" t="b">
        <f>IF(E255=TRUE,TRUE,FALSE)</f>
        <v>1</v>
      </c>
      <c r="F269" s="134"/>
    </row>
    <row r="270">
      <c r="A270" s="120" t="str">
        <f>HYPERLINK("https://github.com/pytorch/pytorch/blob/f99ab991dcd3719ee25dd3377a53ea12e518308e/test/distributed/_composable/fsdp/test_fully_shard_training.py#L1722", "TestFullyShardWorldSize1")</f>
        <v>TestFullyShardWorldSize1</v>
      </c>
      <c r="B270" s="30" t="s">
        <v>1676</v>
      </c>
      <c r="C270" s="25" t="s">
        <v>1691</v>
      </c>
      <c r="D270" s="25" t="s">
        <v>1606</v>
      </c>
      <c r="E270" s="121" t="b">
        <f>IF(E255=TRUE,TRUE,FALSE)</f>
        <v>1</v>
      </c>
      <c r="F270" s="133"/>
    </row>
    <row r="271">
      <c r="A271" s="117" t="str">
        <f>HYPERLINK("https://github.com/pytorch/pytorch/blob/f99ab991dcd3719ee25dd3377a53ea12e518308e/test/distributed/_composable/fsdp/test_fully_shard_training.py#L1784", "TestFullyShardCudaGraph")</f>
        <v>TestFullyShardCudaGraph</v>
      </c>
      <c r="B271" s="30" t="s">
        <v>1676</v>
      </c>
      <c r="C271" s="30" t="s">
        <v>1692</v>
      </c>
      <c r="D271" s="30" t="s">
        <v>1606</v>
      </c>
      <c r="E271" s="118" t="b">
        <f>IF(E255=TRUE,TRUE,FALSE)</f>
        <v>1</v>
      </c>
      <c r="F271" s="134"/>
    </row>
    <row r="272">
      <c r="A272" s="107" t="s">
        <v>1693</v>
      </c>
      <c r="B272" s="108"/>
      <c r="C272" s="108"/>
      <c r="D272" s="109"/>
      <c r="E272" s="110" t="b">
        <v>1</v>
      </c>
      <c r="F272" s="111"/>
    </row>
    <row r="273">
      <c r="A273" s="143" t="s">
        <v>1694</v>
      </c>
      <c r="B273" s="144"/>
      <c r="C273" s="144"/>
      <c r="D273" s="145"/>
      <c r="E273" s="146" t="b">
        <v>0</v>
      </c>
      <c r="F273" s="124"/>
    </row>
    <row r="274">
      <c r="A274" s="122" t="str">
        <f>HYPERLINK("https://github.com/pytorch/pytorch/blob/f99ab991dcd3719ee25dd3377a53ea12e518308e/test/distributed/fsdp/test_checkpoint_wrapper.py#L30", "CheckpointWrapperTest")</f>
        <v>CheckpointWrapperTest</v>
      </c>
      <c r="B274" s="91" t="s">
        <v>1695</v>
      </c>
      <c r="C274" s="91" t="s">
        <v>1696</v>
      </c>
      <c r="D274" s="91" t="s">
        <v>64</v>
      </c>
      <c r="E274" s="123" t="b">
        <f>IF(E273=TRUE,TRUE,FALSE)</f>
        <v>0</v>
      </c>
      <c r="F274" s="124"/>
    </row>
    <row r="275">
      <c r="A275" s="122" t="str">
        <f>HYPERLINK("https://github.com/pytorch/pytorch/blob/f99ab991dcd3719ee25dd3377a53ea12e518308e/test/distributed/fsdp/test_distributed_checkpoint.py#L42", "TestDistributedCheckpoint")</f>
        <v>TestDistributedCheckpoint</v>
      </c>
      <c r="B275" s="91" t="s">
        <v>1697</v>
      </c>
      <c r="C275" s="91" t="s">
        <v>1698</v>
      </c>
      <c r="D275" s="91" t="s">
        <v>1699</v>
      </c>
      <c r="E275" s="123" t="b">
        <f>IF(E273=TRUE,TRUE,FALSE)</f>
        <v>0</v>
      </c>
      <c r="F275" s="124"/>
    </row>
    <row r="276">
      <c r="A276" s="122" t="str">
        <f>HYPERLINK("https://github.com/pytorch/pytorch/blob/f99ab991dcd3719ee25dd3377a53ea12e518308e/test/distributed/fsdp/test_fsdp_apply.py#L36", "TestApply")</f>
        <v>TestApply</v>
      </c>
      <c r="B276" s="91" t="s">
        <v>1700</v>
      </c>
      <c r="C276" s="91" t="s">
        <v>1701</v>
      </c>
      <c r="D276" s="91" t="s">
        <v>1699</v>
      </c>
      <c r="E276" s="123" t="b">
        <f>IF(E273=TRUE,TRUE,FALSE)</f>
        <v>0</v>
      </c>
      <c r="F276" s="124"/>
    </row>
    <row r="277">
      <c r="A277" s="122" t="str">
        <f>HYPERLINK("https://github.com/pytorch/pytorch/blob/f99ab991dcd3719ee25dd3377a53ea12e518308e/test/distributed/fsdp/test_fsdp_backward_prefetch.py#L77", "TestBackwardPrefetch")</f>
        <v>TestBackwardPrefetch</v>
      </c>
      <c r="B277" s="91" t="s">
        <v>1702</v>
      </c>
      <c r="C277" s="91" t="s">
        <v>1703</v>
      </c>
      <c r="D277" s="91" t="s">
        <v>1704</v>
      </c>
      <c r="E277" s="123" t="b">
        <f>IF(E273=TRUE,TRUE,FALSE)</f>
        <v>0</v>
      </c>
      <c r="F277" s="124"/>
    </row>
    <row r="278">
      <c r="A278" s="122" t="str">
        <f>HYPERLINK("https://github.com/pytorch/pytorch/blob/f99ab991dcd3719ee25dd3377a53ea12e518308e/test/distributed/fsdp/test_fsdp_checkpoint.py#L79", "TestFSDPCheckpoint")</f>
        <v>TestFSDPCheckpoint</v>
      </c>
      <c r="B278" s="91" t="s">
        <v>1705</v>
      </c>
      <c r="C278" s="91" t="s">
        <v>1706</v>
      </c>
      <c r="D278" s="91" t="s">
        <v>1707</v>
      </c>
      <c r="E278" s="123" t="b">
        <f>IF(E273=TRUE,TRUE,FALSE)</f>
        <v>0</v>
      </c>
      <c r="F278" s="124"/>
    </row>
    <row r="279">
      <c r="A279" s="122" t="str">
        <f>HYPERLINK("https://github.com/pytorch/pytorch/blob/f99ab991dcd3719ee25dd3377a53ea12e518308e/test/distributed/fsdp/test_fsdp_checkpoint.py#L312", "TestFSDPCheckpointSubmodule")</f>
        <v>TestFSDPCheckpointSubmodule</v>
      </c>
      <c r="B279" s="91" t="s">
        <v>1705</v>
      </c>
      <c r="C279" s="91" t="s">
        <v>1708</v>
      </c>
      <c r="D279" s="91" t="s">
        <v>1699</v>
      </c>
      <c r="E279" s="123" t="b">
        <f>IF(E273=TRUE,TRUE,FALSE)</f>
        <v>0</v>
      </c>
      <c r="F279" s="124"/>
    </row>
    <row r="280">
      <c r="A280" s="122" t="str">
        <f>HYPERLINK("https://github.com/pytorch/pytorch/blob/f99ab991dcd3719ee25dd3377a53ea12e518308e/test/distributed/fsdp/test_fsdp_clip_grad_norm.py#L44", "TestClipGradNorm")</f>
        <v>TestClipGradNorm</v>
      </c>
      <c r="B280" s="91" t="s">
        <v>1709</v>
      </c>
      <c r="C280" s="91" t="s">
        <v>1710</v>
      </c>
      <c r="D280" s="91" t="s">
        <v>1711</v>
      </c>
      <c r="E280" s="123" t="b">
        <f>IF(E273=TRUE,TRUE,FALSE)</f>
        <v>0</v>
      </c>
      <c r="F280" s="124"/>
    </row>
    <row r="281">
      <c r="A281" s="122" t="str">
        <f>HYPERLINK("https://github.com/pytorch/pytorch/blob/f99ab991dcd3719ee25dd3377a53ea12e518308e/test/distributed/fsdp/test_fsdp_comm.py#L54", "TestCommunication")</f>
        <v>TestCommunication</v>
      </c>
      <c r="B281" s="91" t="s">
        <v>1712</v>
      </c>
      <c r="C281" s="91" t="s">
        <v>1713</v>
      </c>
      <c r="D281" s="91" t="s">
        <v>1699</v>
      </c>
      <c r="E281" s="123" t="b">
        <f>IF(E273=TRUE,TRUE,FALSE)</f>
        <v>0</v>
      </c>
      <c r="F281" s="124"/>
    </row>
    <row r="282">
      <c r="A282" s="122" t="str">
        <f>HYPERLINK("https://github.com/pytorch/pytorch/blob/f99ab991dcd3719ee25dd3377a53ea12e518308e/test/distributed/fsdp/test_fsdp_comm.py#L293", "TestExplicitUnshard")</f>
        <v>TestExplicitUnshard</v>
      </c>
      <c r="B282" s="91" t="s">
        <v>1712</v>
      </c>
      <c r="C282" s="91" t="s">
        <v>1714</v>
      </c>
      <c r="D282" s="91" t="s">
        <v>1699</v>
      </c>
      <c r="E282" s="123" t="b">
        <f>IF(E273=TRUE,TRUE,FALSE)</f>
        <v>0</v>
      </c>
      <c r="F282" s="124"/>
    </row>
    <row r="283">
      <c r="A283" s="122" t="str">
        <f>HYPERLINK("https://github.com/pytorch/pytorch/blob/f99ab991dcd3719ee25dd3377a53ea12e518308e/test/distributed/fsdp/test_fsdp_comm_hooks.py#L112", "TestCommunicationHooks")</f>
        <v>TestCommunicationHooks</v>
      </c>
      <c r="B283" s="91" t="s">
        <v>1715</v>
      </c>
      <c r="C283" s="91" t="s">
        <v>1716</v>
      </c>
      <c r="D283" s="91" t="s">
        <v>1591</v>
      </c>
      <c r="E283" s="123" t="b">
        <f>IF(E273=TRUE,TRUE,FALSE)</f>
        <v>0</v>
      </c>
      <c r="F283" s="124"/>
    </row>
    <row r="284">
      <c r="A284" s="122" t="str">
        <f>HYPERLINK("https://github.com/pytorch/pytorch/blob/f99ab991dcd3719ee25dd3377a53ea12e518308e/test/distributed/fsdp/test_fsdp_core.py#L74", "TestParityWithDDP")</f>
        <v>TestParityWithDDP</v>
      </c>
      <c r="B284" s="91" t="s">
        <v>1717</v>
      </c>
      <c r="C284" s="91" t="s">
        <v>1718</v>
      </c>
      <c r="D284" s="91" t="s">
        <v>1719</v>
      </c>
      <c r="E284" s="123" t="b">
        <f>IF(E273=TRUE,TRUE,FALSE)</f>
        <v>0</v>
      </c>
      <c r="F284" s="124"/>
    </row>
    <row r="285">
      <c r="A285" s="122" t="str">
        <f>HYPERLINK("https://github.com/pytorch/pytorch/blob/f99ab991dcd3719ee25dd3377a53ea12e518308e/test/distributed/fsdp/test_fsdp_core.py#L269", "TestParamInit")</f>
        <v>TestParamInit</v>
      </c>
      <c r="B285" s="91" t="s">
        <v>1717</v>
      </c>
      <c r="C285" s="91" t="s">
        <v>1720</v>
      </c>
      <c r="D285" s="91" t="s">
        <v>1719</v>
      </c>
      <c r="E285" s="123" t="b">
        <f>IF(E273=TRUE,TRUE,FALSE)</f>
        <v>0</v>
      </c>
      <c r="F285" s="124"/>
    </row>
    <row r="286">
      <c r="A286" s="122" t="str">
        <f>HYPERLINK("https://github.com/pytorch/pytorch/blob/f99ab991dcd3719ee25dd3377a53ea12e518308e/test/distributed/fsdp/test_fsdp_core.py#L309", "TestHooks")</f>
        <v>TestHooks</v>
      </c>
      <c r="B286" s="91" t="s">
        <v>1717</v>
      </c>
      <c r="C286" s="91" t="s">
        <v>1721</v>
      </c>
      <c r="D286" s="91" t="s">
        <v>1719</v>
      </c>
      <c r="E286" s="123" t="b">
        <f>IF(E273=TRUE,TRUE,FALSE)</f>
        <v>0</v>
      </c>
      <c r="F286" s="124"/>
    </row>
    <row r="287">
      <c r="A287" s="122" t="str">
        <f>HYPERLINK("https://github.com/pytorch/pytorch/blob/f99ab991dcd3719ee25dd3377a53ea12e518308e/test/distributed/fsdp/test_fsdp_core.py#L399", "TestNoGrad")</f>
        <v>TestNoGrad</v>
      </c>
      <c r="B287" s="91" t="s">
        <v>1717</v>
      </c>
      <c r="C287" s="91" t="s">
        <v>1722</v>
      </c>
      <c r="D287" s="91" t="s">
        <v>1719</v>
      </c>
      <c r="E287" s="123" t="b">
        <f>IF(E273=TRUE,TRUE,FALSE)</f>
        <v>0</v>
      </c>
      <c r="F287" s="124"/>
    </row>
    <row r="288">
      <c r="A288" s="122" t="str">
        <f>HYPERLINK("https://github.com/pytorch/pytorch/blob/f99ab991dcd3719ee25dd3377a53ea12e518308e/test/distributed/fsdp/test_fsdp_core.py#L438", "TestAutograd")</f>
        <v>TestAutograd</v>
      </c>
      <c r="B288" s="91" t="s">
        <v>1717</v>
      </c>
      <c r="C288" s="91" t="s">
        <v>1723</v>
      </c>
      <c r="D288" s="91" t="s">
        <v>1719</v>
      </c>
      <c r="E288" s="123" t="b">
        <f>IF(E273=TRUE,TRUE,FALSE)</f>
        <v>0</v>
      </c>
      <c r="F288" s="124"/>
    </row>
    <row r="289">
      <c r="A289" s="143" t="s">
        <v>1724</v>
      </c>
      <c r="B289" s="144"/>
      <c r="C289" s="144"/>
      <c r="D289" s="145"/>
      <c r="E289" s="146" t="b">
        <v>0</v>
      </c>
      <c r="F289" s="124"/>
    </row>
    <row r="290">
      <c r="A290" s="122" t="str">
        <f>HYPERLINK("https://github.com/pytorch/pytorch/blob/f99ab991dcd3719ee25dd3377a53ea12e518308e/test/distributed/fsdp/test_fsdp_dtensor_state_dict.py#L63", "TestFSDPWithDeviceMeshAndDTensor")</f>
        <v>TestFSDPWithDeviceMeshAndDTensor</v>
      </c>
      <c r="B290" s="91" t="s">
        <v>1725</v>
      </c>
      <c r="C290" s="91" t="s">
        <v>1726</v>
      </c>
      <c r="D290" s="91" t="s">
        <v>1727</v>
      </c>
      <c r="E290" s="123" t="b">
        <f>IF(E289=TRUE,TRUE,FALSE)</f>
        <v>0</v>
      </c>
      <c r="F290" s="124"/>
    </row>
    <row r="291">
      <c r="A291" s="122" t="str">
        <f>HYPERLINK("https://github.com/pytorch/pytorch/blob/f99ab991dcd3719ee25dd3377a53ea12e518308e/test/distributed/fsdp/test_hsdp_dtensor_state_dict.py#L51", "TestHSDPWithDeviceMeshAndDTensor")</f>
        <v>TestHSDPWithDeviceMeshAndDTensor</v>
      </c>
      <c r="B291" s="91" t="s">
        <v>1728</v>
      </c>
      <c r="C291" s="91" t="s">
        <v>1729</v>
      </c>
      <c r="D291" s="91" t="s">
        <v>1727</v>
      </c>
      <c r="E291" s="123" t="b">
        <f>IF(E289=TRUE,TRUE,FALSE)</f>
        <v>0</v>
      </c>
      <c r="F291" s="124"/>
    </row>
    <row r="292">
      <c r="A292" s="122" t="str">
        <f>HYPERLINK("https://github.com/pytorch/pytorch/blob/f99ab991dcd3719ee25dd3377a53ea12e518308e/test/distributed/fsdp/test_fsdp_exec_order.py#L103", "TestFSDPExecOrder")</f>
        <v>TestFSDPExecOrder</v>
      </c>
      <c r="B292" s="91" t="s">
        <v>1730</v>
      </c>
      <c r="C292" s="91" t="s">
        <v>1731</v>
      </c>
      <c r="D292" s="91" t="s">
        <v>1699</v>
      </c>
      <c r="E292" s="123" t="b">
        <f>IF(E289=TRUE,TRUE,FALSE)</f>
        <v>0</v>
      </c>
      <c r="F292" s="124"/>
    </row>
    <row r="293">
      <c r="A293" s="122" t="str">
        <f>HYPERLINK("https://github.com/pytorch/pytorch/blob/f99ab991dcd3719ee25dd3377a53ea12e518308e/test/distributed/fsdp/test_fsdp_fine_tune.py#L64", "TestFSDPFineTune")</f>
        <v>TestFSDPFineTune</v>
      </c>
      <c r="B293" s="91" t="s">
        <v>1732</v>
      </c>
      <c r="C293" s="91" t="s">
        <v>1733</v>
      </c>
      <c r="D293" s="91" t="s">
        <v>1699</v>
      </c>
      <c r="E293" s="123" t="b">
        <f>IF(E289=TRUE,TRUE,FALSE)</f>
        <v>0</v>
      </c>
      <c r="F293" s="124"/>
    </row>
    <row r="294">
      <c r="A294" s="122" t="str">
        <f>HYPERLINK("https://github.com/pytorch/pytorch/blob/f99ab991dcd3719ee25dd3377a53ea12e518308e/test/distributed/fsdp/test_fsdp_flatten_params.py#L36", "TestFlattenParams")</f>
        <v>TestFlattenParams</v>
      </c>
      <c r="B294" s="91" t="s">
        <v>1734</v>
      </c>
      <c r="C294" s="91" t="s">
        <v>1735</v>
      </c>
      <c r="D294" s="91" t="s">
        <v>1736</v>
      </c>
      <c r="E294" s="123" t="b">
        <f>IF(E289=TRUE,TRUE,FALSE)</f>
        <v>0</v>
      </c>
      <c r="F294" s="124"/>
    </row>
    <row r="295">
      <c r="A295" s="122" t="str">
        <f>HYPERLINK("https://github.com/pytorch/pytorch/blob/f99ab991dcd3719ee25dd3377a53ea12e518308e/test/distributed/fsdp/test_fsdp_freezing_weights.py#L120", "TestFreezingWeights")</f>
        <v>TestFreezingWeights</v>
      </c>
      <c r="B295" s="91" t="s">
        <v>1737</v>
      </c>
      <c r="C295" s="91" t="s">
        <v>1738</v>
      </c>
      <c r="D295" s="91" t="s">
        <v>1707</v>
      </c>
      <c r="E295" s="123" t="b">
        <f>IF(E289=TRUE,TRUE,FALSE)</f>
        <v>0</v>
      </c>
      <c r="F295" s="124"/>
    </row>
    <row r="296">
      <c r="A296" s="122" t="str">
        <f>HYPERLINK("https://github.com/pytorch/pytorch/blob/f99ab991dcd3719ee25dd3377a53ea12e518308e/test/distributed/fsdp/test_fsdp_fx.py#L36", "TestSymbolicTracing")</f>
        <v>TestSymbolicTracing</v>
      </c>
      <c r="B296" s="91" t="s">
        <v>1739</v>
      </c>
      <c r="C296" s="91" t="s">
        <v>1740</v>
      </c>
      <c r="D296" s="91" t="s">
        <v>64</v>
      </c>
      <c r="E296" s="123" t="b">
        <f>IF(E289=TRUE,TRUE,FALSE)</f>
        <v>0</v>
      </c>
      <c r="F296" s="124"/>
    </row>
    <row r="297">
      <c r="A297" s="122" t="str">
        <f>HYPERLINK("https://github.com/pytorch/pytorch/blob/f99ab991dcd3719ee25dd3377a53ea12e518308e/test/distributed/fsdp/test_fsdp_grad_acc.py#L81", "TestGradAcc")</f>
        <v>TestGradAcc</v>
      </c>
      <c r="B297" s="91" t="s">
        <v>1741</v>
      </c>
      <c r="C297" s="91" t="s">
        <v>1686</v>
      </c>
      <c r="D297" s="91" t="s">
        <v>1704</v>
      </c>
      <c r="E297" s="123" t="b">
        <f>IF(E289=TRUE,TRUE,FALSE)</f>
        <v>0</v>
      </c>
      <c r="F297" s="124"/>
    </row>
    <row r="298">
      <c r="A298" s="122" t="str">
        <f>HYPERLINK("https://github.com/pytorch/pytorch/blob/f99ab991dcd3719ee25dd3377a53ea12e518308e/test/distributed/fsdp/test_fsdp_hybrid_shard.py#L99", "TestFSDPHybridShard")</f>
        <v>TestFSDPHybridShard</v>
      </c>
      <c r="B298" s="91" t="s">
        <v>1742</v>
      </c>
      <c r="C298" s="91" t="s">
        <v>1743</v>
      </c>
      <c r="D298" s="91" t="s">
        <v>1744</v>
      </c>
      <c r="E298" s="123" t="b">
        <f>IF(E289=TRUE,TRUE,FALSE)</f>
        <v>0</v>
      </c>
      <c r="F298" s="124"/>
    </row>
    <row r="299">
      <c r="A299" s="122" t="str">
        <f>HYPERLINK("https://github.com/pytorch/pytorch/blob/f99ab991dcd3719ee25dd3377a53ea12e518308e/test/distributed/fsdp/test_fsdp_ignored_modules.py#L96", "TestFSDPIgnoredModules")</f>
        <v>TestFSDPIgnoredModules</v>
      </c>
      <c r="B299" s="91" t="s">
        <v>1745</v>
      </c>
      <c r="C299" s="91" t="s">
        <v>1746</v>
      </c>
      <c r="D299" s="91" t="s">
        <v>1744</v>
      </c>
      <c r="E299" s="123" t="b">
        <f>IF(E289=TRUE,TRUE,FALSE)</f>
        <v>0</v>
      </c>
      <c r="F299" s="124"/>
    </row>
    <row r="300">
      <c r="A300" s="122" t="str">
        <f>HYPERLINK("https://github.com/pytorch/pytorch/blob/f99ab991dcd3719ee25dd3377a53ea12e518308e/test/distributed/fsdp/test_fsdp_input.py#L31", "TestInput")</f>
        <v>TestInput</v>
      </c>
      <c r="B300" s="91" t="s">
        <v>1747</v>
      </c>
      <c r="C300" s="91" t="s">
        <v>1748</v>
      </c>
      <c r="D300" s="91" t="s">
        <v>1699</v>
      </c>
      <c r="E300" s="123" t="b">
        <f>IF(E289=TRUE,TRUE,FALSE)</f>
        <v>0</v>
      </c>
      <c r="F300" s="124"/>
    </row>
    <row r="301">
      <c r="A301" s="122" t="str">
        <f>HYPERLINK("https://github.com/pytorch/pytorch/blob/f99ab991dcd3719ee25dd3377a53ea12e518308e/test/distributed/fsdp/test_fsdp_memory.py#L110", "TestFSDPMemory")</f>
        <v>TestFSDPMemory</v>
      </c>
      <c r="B301" s="91" t="s">
        <v>1749</v>
      </c>
      <c r="C301" s="91" t="s">
        <v>1750</v>
      </c>
      <c r="D301" s="91" t="s">
        <v>1707</v>
      </c>
      <c r="E301" s="123" t="b">
        <f>IF(E289=TRUE,TRUE,FALSE)</f>
        <v>0</v>
      </c>
      <c r="F301" s="124"/>
    </row>
    <row r="302">
      <c r="A302" s="122" t="str">
        <f>HYPERLINK("https://github.com/pytorch/pytorch/blob/f99ab991dcd3719ee25dd3377a53ea12e518308e/test/distributed/fsdp/test_fsdp_meta.py#L140", "TestFSDPWithMetaDevice")</f>
        <v>TestFSDPWithMetaDevice</v>
      </c>
      <c r="B302" s="91" t="s">
        <v>1751</v>
      </c>
      <c r="C302" s="91" t="s">
        <v>1752</v>
      </c>
      <c r="D302" s="91" t="s">
        <v>1704</v>
      </c>
      <c r="E302" s="123" t="b">
        <f>IF(E289=TRUE,TRUE,FALSE)</f>
        <v>0</v>
      </c>
      <c r="F302" s="124"/>
    </row>
    <row r="303">
      <c r="A303" s="143" t="s">
        <v>1753</v>
      </c>
      <c r="B303" s="144"/>
      <c r="C303" s="144"/>
      <c r="D303" s="145"/>
      <c r="E303" s="146" t="b">
        <v>0</v>
      </c>
      <c r="F303" s="124"/>
    </row>
    <row r="304">
      <c r="A304" s="122" t="str">
        <f>HYPERLINK("https://github.com/pytorch/pytorch/blob/f99ab991dcd3719ee25dd3377a53ea12e518308e/test/distributed/fsdp/test_fsdp_misc.py#L78", "TestFSDPMiscMultiProcess")</f>
        <v>TestFSDPMiscMultiProcess</v>
      </c>
      <c r="B304" s="91" t="s">
        <v>1754</v>
      </c>
      <c r="C304" s="91" t="s">
        <v>1755</v>
      </c>
      <c r="D304" s="91" t="s">
        <v>1571</v>
      </c>
      <c r="E304" s="123" t="b">
        <f>IF(E303=TRUE,TRUE,FALSE)</f>
        <v>0</v>
      </c>
      <c r="F304" s="124"/>
    </row>
    <row r="305">
      <c r="A305" s="122" t="str">
        <f>HYPERLINK("https://github.com/pytorch/pytorch/blob/f99ab991dcd3719ee25dd3377a53ea12e518308e/test/distributed/fsdp/test_fsdp_misc.py#L633", "TestFSDPMiscMultiThread")</f>
        <v>TestFSDPMiscMultiThread</v>
      </c>
      <c r="B305" s="91" t="s">
        <v>1754</v>
      </c>
      <c r="C305" s="91" t="s">
        <v>1756</v>
      </c>
      <c r="D305" s="91" t="s">
        <v>1571</v>
      </c>
      <c r="E305" s="123" t="b">
        <f>IF(E303=TRUE,TRUE,FALSE)</f>
        <v>0</v>
      </c>
      <c r="F305" s="124"/>
    </row>
    <row r="306">
      <c r="A306" s="122" t="str">
        <f>HYPERLINK("https://github.com/pytorch/pytorch/blob/f99ab991dcd3719ee25dd3377a53ea12e518308e/test/distributed/fsdp/test_fsdp_misc.py#L1002", "TestFSDPMiscWorldSize1")</f>
        <v>TestFSDPMiscWorldSize1</v>
      </c>
      <c r="B306" s="91" t="s">
        <v>1754</v>
      </c>
      <c r="C306" s="91" t="s">
        <v>1691</v>
      </c>
      <c r="D306" s="91" t="s">
        <v>1571</v>
      </c>
      <c r="E306" s="123" t="b">
        <f>IF(E303=TRUE,TRUE,FALSE)</f>
        <v>0</v>
      </c>
      <c r="F306" s="124"/>
    </row>
    <row r="307">
      <c r="A307" s="122" t="str">
        <f>HYPERLINK("https://github.com/pytorch/pytorch/blob/f99ab991dcd3719ee25dd3377a53ea12e518308e/test/distributed/fsdp/test_fsdp_mixed_precision.py#L239", "TestFSDPMixedPrecision")</f>
        <v>TestFSDPMixedPrecision</v>
      </c>
      <c r="B307" s="91" t="s">
        <v>1757</v>
      </c>
      <c r="C307" s="91" t="s">
        <v>1663</v>
      </c>
      <c r="D307" s="91" t="s">
        <v>1758</v>
      </c>
      <c r="E307" s="123" t="b">
        <f>IF(E303=TRUE,TRUE,FALSE)</f>
        <v>0</v>
      </c>
      <c r="F307" s="124"/>
    </row>
    <row r="308">
      <c r="A308" s="122" t="str">
        <f>HYPERLINK("https://github.com/pytorch/pytorch/blob/f99ab991dcd3719ee25dd3377a53ea12e518308e/test/distributed/fsdp/test_fsdp_mixed_precision.py#L519", "TestFSDPMixedPrecisionSharded")</f>
        <v>TestFSDPMixedPrecisionSharded</v>
      </c>
      <c r="B308" s="91" t="s">
        <v>1757</v>
      </c>
      <c r="C308" s="91" t="s">
        <v>1759</v>
      </c>
      <c r="D308" s="91" t="s">
        <v>1758</v>
      </c>
      <c r="E308" s="123" t="b">
        <f>IF(E303=TRUE,TRUE,FALSE)</f>
        <v>0</v>
      </c>
      <c r="F308" s="124"/>
    </row>
    <row r="309">
      <c r="A309" s="122" t="str">
        <f>HYPERLINK("https://github.com/pytorch/pytorch/blob/f99ab991dcd3719ee25dd3377a53ea12e518308e/test/distributed/fsdp/test_fsdp_mixed_precision.py#L1043", "TestFSDPMixedPrecisionUnsharded")</f>
        <v>TestFSDPMixedPrecisionUnsharded</v>
      </c>
      <c r="B309" s="91" t="s">
        <v>1757</v>
      </c>
      <c r="C309" s="91" t="s">
        <v>1760</v>
      </c>
      <c r="D309" s="91" t="s">
        <v>1758</v>
      </c>
      <c r="E309" s="123" t="b">
        <f>IF(E303=TRUE,TRUE,FALSE)</f>
        <v>0</v>
      </c>
      <c r="F309" s="124"/>
    </row>
    <row r="310">
      <c r="A310" s="122" t="str">
        <f>HYPERLINK("https://github.com/pytorch/pytorch/blob/f99ab991dcd3719ee25dd3377a53ea12e518308e/test/distributed/fsdp/test_fsdp_mixed_precision.py#L1111", "TestFSDPMixedPrecisionIgnoredModules")</f>
        <v>TestFSDPMixedPrecisionIgnoredModules</v>
      </c>
      <c r="B310" s="91" t="s">
        <v>1757</v>
      </c>
      <c r="C310" s="91" t="s">
        <v>1761</v>
      </c>
      <c r="D310" s="91" t="s">
        <v>1758</v>
      </c>
      <c r="E310" s="123" t="b">
        <f>IF(E303=TRUE,TRUE,FALSE)</f>
        <v>0</v>
      </c>
      <c r="F310" s="124"/>
    </row>
    <row r="311">
      <c r="A311" s="122" t="str">
        <f>HYPERLINK("https://github.com/pytorch/pytorch/blob/f99ab991dcd3719ee25dd3377a53ea12e518308e/test/distributed/fsdp/test_fsdp_mixed_precision.py#L1132", "TestFSDPDifferentSubmodulePrecision")</f>
        <v>TestFSDPDifferentSubmodulePrecision</v>
      </c>
      <c r="B311" s="91" t="s">
        <v>1757</v>
      </c>
      <c r="C311" s="91" t="s">
        <v>1762</v>
      </c>
      <c r="D311" s="91" t="s">
        <v>1758</v>
      </c>
      <c r="E311" s="123" t="b">
        <f>IF(E303=TRUE,TRUE,FALSE)</f>
        <v>0</v>
      </c>
      <c r="F311" s="124"/>
    </row>
    <row r="312">
      <c r="A312" s="122" t="str">
        <f>HYPERLINK("https://github.com/pytorch/pytorch/blob/f99ab991dcd3719ee25dd3377a53ea12e518308e/test/distributed/fsdp/test_fsdp_mixed_precision.py#L1287", "TestFSDPTrainEval")</f>
        <v>TestFSDPTrainEval</v>
      </c>
      <c r="B312" s="91" t="s">
        <v>1757</v>
      </c>
      <c r="C312" s="91" t="s">
        <v>1763</v>
      </c>
      <c r="D312" s="91" t="s">
        <v>1758</v>
      </c>
      <c r="E312" s="123" t="b">
        <f>IF(E303=TRUE,TRUE,FALSE)</f>
        <v>0</v>
      </c>
      <c r="F312" s="124"/>
    </row>
    <row r="313">
      <c r="A313" s="143" t="s">
        <v>1764</v>
      </c>
      <c r="B313" s="144"/>
      <c r="C313" s="144"/>
      <c r="D313" s="145"/>
      <c r="E313" s="146" t="b">
        <v>0</v>
      </c>
      <c r="F313" s="124"/>
    </row>
    <row r="314">
      <c r="A314" s="122" t="str">
        <f>HYPERLINK("https://github.com/pytorch/pytorch/blob/f99ab991dcd3719ee25dd3377a53ea12e518308e/test/distributed/fsdp/test_fsdp_multiple_forward.py#L50", "TestMultiForward")</f>
        <v>TestMultiForward</v>
      </c>
      <c r="B314" s="91" t="s">
        <v>1765</v>
      </c>
      <c r="C314" s="91" t="s">
        <v>1766</v>
      </c>
      <c r="D314" s="91" t="s">
        <v>1767</v>
      </c>
      <c r="E314" s="123" t="b">
        <f>IF(E313=TRUE,TRUE,FALSE)</f>
        <v>0</v>
      </c>
      <c r="F314" s="124"/>
    </row>
    <row r="315">
      <c r="A315" s="122" t="str">
        <f>HYPERLINK("https://github.com/pytorch/pytorch/blob/f99ab991dcd3719ee25dd3377a53ea12e518308e/test/distributed/fsdp/test_fsdp_multiple_wrapping.py#L37", "TestMultipleWrapping")</f>
        <v>TestMultipleWrapping</v>
      </c>
      <c r="B315" s="91" t="s">
        <v>1768</v>
      </c>
      <c r="C315" s="91" t="s">
        <v>1769</v>
      </c>
      <c r="D315" s="91" t="s">
        <v>1699</v>
      </c>
      <c r="E315" s="123" t="b">
        <f>IF(E313=TRUE,TRUE,FALSE)</f>
        <v>0</v>
      </c>
      <c r="F315" s="124"/>
    </row>
    <row r="316">
      <c r="A316" s="122" t="str">
        <f>HYPERLINK("https://github.com/pytorch/pytorch/blob/f99ab991dcd3719ee25dd3377a53ea12e518308e/test/distributed/fsdp/test_fsdp_optim_state.py#L311", "TestFSDPOptimState")</f>
        <v>TestFSDPOptimState</v>
      </c>
      <c r="B316" s="91" t="s">
        <v>1770</v>
      </c>
      <c r="C316" s="91" t="s">
        <v>1771</v>
      </c>
      <c r="D316" s="91" t="s">
        <v>1772</v>
      </c>
      <c r="E316" s="123" t="b">
        <f>IF(E313=TRUE,TRUE,FALSE)</f>
        <v>0</v>
      </c>
      <c r="F316" s="124"/>
    </row>
    <row r="317">
      <c r="A317" s="122" t="str">
        <f>HYPERLINK("https://github.com/pytorch/pytorch/blob/f99ab991dcd3719ee25dd3377a53ea12e518308e/test/distributed/fsdp/test_fsdp_overlap.py#L99", "TestForwardOverlapWorldSizeOne")</f>
        <v>TestForwardOverlapWorldSizeOne</v>
      </c>
      <c r="B317" s="91" t="s">
        <v>1773</v>
      </c>
      <c r="C317" s="91" t="s">
        <v>1774</v>
      </c>
      <c r="D317" s="91" t="s">
        <v>1699</v>
      </c>
      <c r="E317" s="123" t="b">
        <f>IF(E313=TRUE,TRUE,FALSE)</f>
        <v>0</v>
      </c>
      <c r="F317" s="124"/>
    </row>
    <row r="318">
      <c r="A318" s="122" t="str">
        <f>HYPERLINK("https://github.com/pytorch/pytorch/blob/f99ab991dcd3719ee25dd3377a53ea12e518308e/test/distributed/fsdp/test_fsdp_overlap.py#L259", "TestForwardOverlapWorldSizeTwo")</f>
        <v>TestForwardOverlapWorldSizeTwo</v>
      </c>
      <c r="B318" s="91" t="s">
        <v>1773</v>
      </c>
      <c r="C318" s="91" t="s">
        <v>1775</v>
      </c>
      <c r="D318" s="91" t="s">
        <v>1699</v>
      </c>
      <c r="E318" s="123" t="b">
        <f>IF(E313=TRUE,TRUE,FALSE)</f>
        <v>0</v>
      </c>
      <c r="F318" s="124"/>
    </row>
    <row r="319">
      <c r="A319" s="122" t="str">
        <f>HYPERLINK("https://github.com/pytorch/pytorch/blob/f99ab991dcd3719ee25dd3377a53ea12e518308e/test/distributed/fsdp/test_fsdp_pure_fp16.py#L39", "TestPureFP16")</f>
        <v>TestPureFP16</v>
      </c>
      <c r="B319" s="91" t="s">
        <v>1776</v>
      </c>
      <c r="C319" s="91" t="s">
        <v>1777</v>
      </c>
      <c r="D319" s="91" t="s">
        <v>1699</v>
      </c>
      <c r="E319" s="123" t="b">
        <f>IF(E313=TRUE,TRUE,FALSE)</f>
        <v>0</v>
      </c>
      <c r="F319" s="124"/>
    </row>
    <row r="320">
      <c r="A320" s="122" t="str">
        <f>HYPERLINK("https://github.com/pytorch/pytorch/blob/f99ab991dcd3719ee25dd3377a53ea12e518308e/test/distributed/fsdp/test_fsdp_sharded_grad_scaler.py#L80", "TestShardGradScaler")</f>
        <v>TestShardGradScaler</v>
      </c>
      <c r="B320" s="91" t="s">
        <v>1778</v>
      </c>
      <c r="C320" s="91" t="s">
        <v>1779</v>
      </c>
      <c r="D320" s="91" t="s">
        <v>1780</v>
      </c>
      <c r="E320" s="123" t="b">
        <f>IF(E313=TRUE,TRUE,FALSE)</f>
        <v>0</v>
      </c>
      <c r="F320" s="124"/>
    </row>
    <row r="321">
      <c r="A321" s="122" t="str">
        <f>HYPERLINK("https://github.com/pytorch/pytorch/blob/f99ab991dcd3719ee25dd3377a53ea12e518308e/test/distributed/fsdp/test_fsdp_sharded_grad_scaler.py#L166", "TestShardedGradScalerParityWithDDP")</f>
        <v>TestShardedGradScalerParityWithDDP</v>
      </c>
      <c r="B321" s="91" t="s">
        <v>1778</v>
      </c>
      <c r="C321" s="91" t="s">
        <v>1781</v>
      </c>
      <c r="D321" s="91" t="s">
        <v>1704</v>
      </c>
      <c r="E321" s="123" t="b">
        <f>IF(E313=TRUE,TRUE,FALSE)</f>
        <v>0</v>
      </c>
      <c r="F321" s="124"/>
    </row>
    <row r="322">
      <c r="A322" s="143" t="s">
        <v>1782</v>
      </c>
      <c r="B322" s="144"/>
      <c r="C322" s="144"/>
      <c r="D322" s="145"/>
      <c r="E322" s="146" t="b">
        <v>0</v>
      </c>
      <c r="F322" s="124"/>
    </row>
    <row r="323">
      <c r="A323" s="122" t="str">
        <f>HYPERLINK("https://github.com/pytorch/pytorch/blob/f99ab991dcd3719ee25dd3377a53ea12e518308e/test/distributed/fsdp/test_fsdp_state_dict.py#L163", "TestFSDPStateDict")</f>
        <v>TestFSDPStateDict</v>
      </c>
      <c r="B323" s="91" t="s">
        <v>1783</v>
      </c>
      <c r="C323" s="91" t="s">
        <v>1784</v>
      </c>
      <c r="D323" s="91" t="s">
        <v>1591</v>
      </c>
      <c r="E323" s="123" t="b">
        <f>IF(E322=TRUE,TRUE,FALSE)</f>
        <v>0</v>
      </c>
      <c r="F323" s="124"/>
    </row>
    <row r="324">
      <c r="A324" s="122" t="str">
        <f>HYPERLINK("https://github.com/pytorch/pytorch/blob/f99ab991dcd3719ee25dd3377a53ea12e518308e/test/distributed/fsdp/test_fsdp_state_dict.py#L1275", "TestFSDPStateDict4GPUs")</f>
        <v>TestFSDPStateDict4GPUs</v>
      </c>
      <c r="B324" s="91" t="s">
        <v>1783</v>
      </c>
      <c r="C324" s="91" t="s">
        <v>1785</v>
      </c>
      <c r="D324" s="91" t="s">
        <v>1591</v>
      </c>
      <c r="E324" s="123" t="b">
        <f>IF(E322=TRUE,TRUE,FALSE)</f>
        <v>0</v>
      </c>
      <c r="F324" s="124"/>
    </row>
    <row r="325">
      <c r="A325" s="122" t="str">
        <f>HYPERLINK("https://github.com/pytorch/pytorch/blob/f99ab991dcd3719ee25dd3377a53ea12e518308e/test/distributed/fsdp/test_fsdp_tp_integration.py#L88", "TestTPFSDPIntegration")</f>
        <v>TestTPFSDPIntegration</v>
      </c>
      <c r="B325" s="91" t="s">
        <v>1786</v>
      </c>
      <c r="C325" s="91" t="s">
        <v>1787</v>
      </c>
      <c r="D325" s="91" t="s">
        <v>1788</v>
      </c>
      <c r="E325" s="123" t="b">
        <f>IF(E322=TRUE,TRUE,FALSE)</f>
        <v>0</v>
      </c>
      <c r="F325" s="124"/>
    </row>
    <row r="326">
      <c r="A326" s="122" t="str">
        <f>HYPERLINK("https://github.com/pytorch/pytorch/blob/f99ab991dcd3719ee25dd3377a53ea12e518308e/test/distributed/fsdp/test_fsdp_traversal.py#L29", "TestTraversal")</f>
        <v>TestTraversal</v>
      </c>
      <c r="B326" s="91" t="s">
        <v>1789</v>
      </c>
      <c r="C326" s="91" t="s">
        <v>1790</v>
      </c>
      <c r="D326" s="91" t="s">
        <v>1699</v>
      </c>
      <c r="E326" s="123" t="b">
        <f>IF(E322=TRUE,TRUE,FALSE)</f>
        <v>0</v>
      </c>
      <c r="F326" s="124"/>
    </row>
    <row r="327">
      <c r="A327" s="122" t="str">
        <f>HYPERLINK("https://github.com/pytorch/pytorch/blob/f99ab991dcd3719ee25dd3377a53ea12e518308e/test/distributed/fsdp/test_fsdp_uneven.py#L30", "TestUnevenParamShard")</f>
        <v>TestUnevenParamShard</v>
      </c>
      <c r="B327" s="91" t="s">
        <v>1791</v>
      </c>
      <c r="C327" s="91" t="s">
        <v>1792</v>
      </c>
      <c r="D327" s="91" t="s">
        <v>1699</v>
      </c>
      <c r="E327" s="123" t="b">
        <f>IF(E322=TRUE,TRUE,FALSE)</f>
        <v>0</v>
      </c>
      <c r="F327" s="124"/>
    </row>
    <row r="328">
      <c r="A328" s="143" t="s">
        <v>1793</v>
      </c>
      <c r="B328" s="144"/>
      <c r="C328" s="144"/>
      <c r="D328" s="145"/>
      <c r="E328" s="146" t="b">
        <v>0</v>
      </c>
      <c r="F328" s="124"/>
    </row>
    <row r="329">
      <c r="A329" s="122" t="str">
        <f>HYPERLINK("https://github.com/pytorch/pytorch/blob/f99ab991dcd3719ee25dd3377a53ea12e518308e/test/distributed/fsdp/test_fsdp_unshard_params.py#L49", "TestUnshardParamsBase")</f>
        <v>TestUnshardParamsBase</v>
      </c>
      <c r="B329" s="91" t="s">
        <v>1794</v>
      </c>
      <c r="C329" s="91" t="s">
        <v>1795</v>
      </c>
      <c r="D329" s="91" t="s">
        <v>1704</v>
      </c>
      <c r="E329" s="123" t="b">
        <f>IF(E328=TRUE,TRUE,FALSE)</f>
        <v>0</v>
      </c>
      <c r="F329" s="124"/>
    </row>
    <row r="330">
      <c r="A330" s="122" t="str">
        <f>HYPERLINK("https://github.com/pytorch/pytorch/blob/f99ab991dcd3719ee25dd3377a53ea12e518308e/test/distributed/fsdp/test_fsdp_unshard_params.py#L209", "TestUnshardParams")</f>
        <v>TestUnshardParams</v>
      </c>
      <c r="B330" s="91" t="s">
        <v>1794</v>
      </c>
      <c r="C330" s="91" t="s">
        <v>1796</v>
      </c>
      <c r="D330" s="91" t="s">
        <v>1704</v>
      </c>
      <c r="E330" s="123" t="b">
        <f>IF(E328=TRUE,TRUE,FALSE)</f>
        <v>0</v>
      </c>
      <c r="F330" s="124"/>
    </row>
    <row r="331">
      <c r="A331" s="122" t="str">
        <f>HYPERLINK("https://github.com/pytorch/pytorch/blob/f99ab991dcd3719ee25dd3377a53ea12e518308e/test/distributed/fsdp/test_fsdp_unshard_params.py#L647", "TestUnshardParamsNoShard")</f>
        <v>TestUnshardParamsNoShard</v>
      </c>
      <c r="B331" s="91" t="s">
        <v>1794</v>
      </c>
      <c r="C331" s="91" t="s">
        <v>1797</v>
      </c>
      <c r="D331" s="91" t="s">
        <v>1704</v>
      </c>
      <c r="E331" s="123" t="b">
        <f>IF(E328=TRUE,TRUE,FALSE)</f>
        <v>0</v>
      </c>
      <c r="F331" s="124"/>
    </row>
    <row r="332">
      <c r="A332" s="122" t="str">
        <f>HYPERLINK("https://github.com/pytorch/pytorch/blob/f99ab991dcd3719ee25dd3377a53ea12e518308e/test/distributed/fsdp/test_fsdp_unshard_params.py#L676", "TestUnshardParamsErrors")</f>
        <v>TestUnshardParamsErrors</v>
      </c>
      <c r="B332" s="91" t="s">
        <v>1794</v>
      </c>
      <c r="C332" s="91" t="s">
        <v>1798</v>
      </c>
      <c r="D332" s="91" t="s">
        <v>1704</v>
      </c>
      <c r="E332" s="123" t="b">
        <f>IF(E328=TRUE,TRUE,FALSE)</f>
        <v>0</v>
      </c>
      <c r="F332" s="124"/>
    </row>
    <row r="333">
      <c r="A333" s="122" t="str">
        <f>HYPERLINK("https://github.com/pytorch/pytorch/blob/f99ab991dcd3719ee25dd3377a53ea12e518308e/test/distributed/fsdp/test_fsdp_use_orig_params.py#L64", "TestFSDPUseOrigParamsMultipleParamGroups")</f>
        <v>TestFSDPUseOrigParamsMultipleParamGroups</v>
      </c>
      <c r="B333" s="91" t="s">
        <v>1799</v>
      </c>
      <c r="C333" s="91" t="s">
        <v>1800</v>
      </c>
      <c r="D333" s="91" t="s">
        <v>1707</v>
      </c>
      <c r="E333" s="123" t="b">
        <f>IF(E328=TRUE,TRUE,FALSE)</f>
        <v>0</v>
      </c>
      <c r="F333" s="124"/>
    </row>
    <row r="334">
      <c r="A334" s="122" t="str">
        <f>HYPERLINK("https://github.com/pytorch/pytorch/blob/f99ab991dcd3719ee25dd3377a53ea12e518308e/test/distributed/fsdp/test_fsdp_use_orig_params.py#L561", "TestFSDPUseOrigParamsUnshardReshard")</f>
        <v>TestFSDPUseOrigParamsUnshardReshard</v>
      </c>
      <c r="B334" s="91" t="s">
        <v>1799</v>
      </c>
      <c r="C334" s="91" t="s">
        <v>1801</v>
      </c>
      <c r="D334" s="91" t="s">
        <v>1707</v>
      </c>
      <c r="E334" s="123" t="b">
        <f>IF(E328=TRUE,TRUE,FALSE)</f>
        <v>0</v>
      </c>
      <c r="F334" s="124"/>
    </row>
    <row r="335">
      <c r="A335" s="122" t="str">
        <f>HYPERLINK("https://github.com/pytorch/pytorch/blob/f99ab991dcd3719ee25dd3377a53ea12e518308e/test/distributed/fsdp/test_fsdp_use_orig_params.py#L734", "TestFSDPUseOrigParamsParamAccess")</f>
        <v>TestFSDPUseOrigParamsParamAccess</v>
      </c>
      <c r="B335" s="91" t="s">
        <v>1799</v>
      </c>
      <c r="C335" s="91" t="s">
        <v>1802</v>
      </c>
      <c r="D335" s="91" t="s">
        <v>1707</v>
      </c>
      <c r="E335" s="123" t="b">
        <f>IF(E328=TRUE,TRUE,FALSE)</f>
        <v>0</v>
      </c>
      <c r="F335" s="124"/>
    </row>
    <row r="336">
      <c r="A336" s="122" t="str">
        <f>HYPERLINK("https://github.com/pytorch/pytorch/blob/f99ab991dcd3719ee25dd3377a53ea12e518308e/test/distributed/fsdp/test_fsdp_use_orig_params.py#L865", "TestFSDPUseOrigParamsWriteback")</f>
        <v>TestFSDPUseOrigParamsWriteback</v>
      </c>
      <c r="B336" s="91" t="s">
        <v>1799</v>
      </c>
      <c r="C336" s="91" t="s">
        <v>1803</v>
      </c>
      <c r="D336" s="91" t="s">
        <v>1707</v>
      </c>
      <c r="E336" s="123" t="b">
        <f>IF(E328=TRUE,TRUE,FALSE)</f>
        <v>0</v>
      </c>
      <c r="F336" s="124"/>
    </row>
    <row r="337">
      <c r="A337" s="122" t="str">
        <f>HYPERLINK("https://github.com/pytorch/pytorch/blob/f99ab991dcd3719ee25dd3377a53ea12e518308e/test/distributed/fsdp/test_fsdp_use_orig_params.py#L1154", "TestFSDPUseOrigParamsFQNs")</f>
        <v>TestFSDPUseOrigParamsFQNs</v>
      </c>
      <c r="B337" s="91" t="s">
        <v>1799</v>
      </c>
      <c r="C337" s="91" t="s">
        <v>1804</v>
      </c>
      <c r="D337" s="91" t="s">
        <v>1707</v>
      </c>
      <c r="E337" s="123" t="b">
        <f>IF(E328=TRUE,TRUE,FALSE)</f>
        <v>0</v>
      </c>
      <c r="F337" s="124"/>
    </row>
    <row r="338">
      <c r="A338" s="122" t="str">
        <f>HYPERLINK("https://github.com/pytorch/pytorch/blob/f99ab991dcd3719ee25dd3377a53ea12e518308e/test/distributed/fsdp/test_fsdp_use_orig_params.py#L1200", "TestFSDPUseOrigParamsNoSync")</f>
        <v>TestFSDPUseOrigParamsNoSync</v>
      </c>
      <c r="B338" s="91" t="s">
        <v>1799</v>
      </c>
      <c r="C338" s="91" t="s">
        <v>1805</v>
      </c>
      <c r="D338" s="91" t="s">
        <v>1707</v>
      </c>
      <c r="E338" s="123" t="b">
        <f>IF(E328=TRUE,TRUE,FALSE)</f>
        <v>0</v>
      </c>
      <c r="F338" s="124"/>
    </row>
    <row r="339">
      <c r="A339" s="122" t="str">
        <f>HYPERLINK("https://github.com/pytorch/pytorch/blob/f99ab991dcd3719ee25dd3377a53ea12e518308e/test/distributed/fsdp/test_fsdp_use_orig_params.py#L1371", "TestFSDPUseOrigParamsInit")</f>
        <v>TestFSDPUseOrigParamsInit</v>
      </c>
      <c r="B339" s="91" t="s">
        <v>1799</v>
      </c>
      <c r="C339" s="91" t="s">
        <v>1806</v>
      </c>
      <c r="D339" s="91" t="s">
        <v>1707</v>
      </c>
      <c r="E339" s="123" t="b">
        <f>IF(E328=TRUE,TRUE,FALSE)</f>
        <v>0</v>
      </c>
      <c r="F339" s="124"/>
    </row>
    <row r="340">
      <c r="A340" s="122" t="str">
        <f>HYPERLINK("https://github.com/pytorch/pytorch/blob/f99ab991dcd3719ee25dd3377a53ea12e518308e/test/distributed/fsdp/test_fsdp_use_orig_params.py#L1393", "TestMultiTensorApply")</f>
        <v>TestMultiTensorApply</v>
      </c>
      <c r="B340" s="91" t="s">
        <v>1799</v>
      </c>
      <c r="C340" s="91" t="s">
        <v>1807</v>
      </c>
      <c r="D340" s="91" t="s">
        <v>1808</v>
      </c>
      <c r="E340" s="123" t="b">
        <f>IF(E328=TRUE,TRUE,FALSE)</f>
        <v>0</v>
      </c>
      <c r="F340" s="124"/>
    </row>
    <row r="341">
      <c r="A341" s="143" t="s">
        <v>1809</v>
      </c>
      <c r="B341" s="144"/>
      <c r="C341" s="144"/>
      <c r="D341" s="145"/>
      <c r="E341" s="146" t="b">
        <v>0</v>
      </c>
      <c r="F341" s="124"/>
    </row>
    <row r="342">
      <c r="A342" s="122" t="str">
        <f>HYPERLINK("https://github.com/pytorch/pytorch/blob/f99ab991dcd3719ee25dd3377a53ea12e518308e/test/distributed/fsdp/test_shard_utils.py#L21", "TestShardUtilsDistributed")</f>
        <v>TestShardUtilsDistributed</v>
      </c>
      <c r="B342" s="91" t="s">
        <v>1810</v>
      </c>
      <c r="C342" s="91" t="s">
        <v>1811</v>
      </c>
      <c r="D342" s="91" t="s">
        <v>1707</v>
      </c>
      <c r="E342" s="123" t="b">
        <f>IF(E341=TRUE,TRUE,FALSE)</f>
        <v>0</v>
      </c>
      <c r="F342" s="124"/>
    </row>
    <row r="343">
      <c r="A343" s="122" t="str">
        <f>HYPERLINK("https://github.com/pytorch/pytorch/blob/f99ab991dcd3719ee25dd3377a53ea12e518308e/test/distributed/fsdp/test_shard_utils.py#L51", "TestShardUtilsDistributedDTensor")</f>
        <v>TestShardUtilsDistributedDTensor</v>
      </c>
      <c r="B343" s="91" t="s">
        <v>1810</v>
      </c>
      <c r="C343" s="91" t="s">
        <v>1812</v>
      </c>
      <c r="D343" s="91" t="s">
        <v>1813</v>
      </c>
      <c r="E343" s="123" t="b">
        <f>IF(E341=TRUE,TRUE,FALSE)</f>
        <v>0</v>
      </c>
      <c r="F343" s="124"/>
    </row>
    <row r="344">
      <c r="A344" s="122" t="str">
        <f>HYPERLINK("https://github.com/pytorch/pytorch/blob/f99ab991dcd3719ee25dd3377a53ea12e518308e/test/distributed/fsdp/test_utils.py#L47", "TestUtils")</f>
        <v>TestUtils</v>
      </c>
      <c r="B344" s="91" t="s">
        <v>1814</v>
      </c>
      <c r="C344" s="91" t="s">
        <v>1815</v>
      </c>
      <c r="D344" s="91" t="s">
        <v>1816</v>
      </c>
      <c r="E344" s="123" t="b">
        <f>IF(E341=TRUE,TRUE,FALSE)</f>
        <v>0</v>
      </c>
      <c r="F344" s="124"/>
    </row>
    <row r="345">
      <c r="A345" s="122" t="str">
        <f>HYPERLINK("https://github.com/pytorch/pytorch/blob/f99ab991dcd3719ee25dd3377a53ea12e518308e/test/distributed/fsdp/test_wrap.py#L130", "TestFSDPWrap")</f>
        <v>TestFSDPWrap</v>
      </c>
      <c r="B345" s="91" t="s">
        <v>1817</v>
      </c>
      <c r="C345" s="91" t="s">
        <v>1818</v>
      </c>
      <c r="D345" s="91" t="s">
        <v>1744</v>
      </c>
      <c r="E345" s="123" t="b">
        <f>IF(E341=TRUE,TRUE,FALSE)</f>
        <v>0</v>
      </c>
      <c r="F345" s="124"/>
    </row>
    <row r="346">
      <c r="A346" s="122" t="str">
        <f>HYPERLINK("https://github.com/pytorch/pytorch/blob/f99ab991dcd3719ee25dd3377a53ea12e518308e/test/distributed/fsdp/test_wrap.py#L418", "TestAutoWrap")</f>
        <v>TestAutoWrap</v>
      </c>
      <c r="B346" s="91" t="s">
        <v>1817</v>
      </c>
      <c r="C346" s="91" t="s">
        <v>1819</v>
      </c>
      <c r="D346" s="91" t="s">
        <v>1820</v>
      </c>
      <c r="E346" s="123" t="b">
        <f>IF(E341=TRUE,TRUE,FALSE)</f>
        <v>0</v>
      </c>
      <c r="F346" s="124"/>
    </row>
    <row r="347">
      <c r="A347" s="122" t="str">
        <f>HYPERLINK("https://github.com/pytorch/pytorch/blob/f99ab991dcd3719ee25dd3377a53ea12e518308e/test/distributed/fsdp/test_wrap.py#L912", "TestWrapUtils")</f>
        <v>TestWrapUtils</v>
      </c>
      <c r="B347" s="91" t="s">
        <v>1817</v>
      </c>
      <c r="C347" s="91" t="s">
        <v>1821</v>
      </c>
      <c r="D347" s="91" t="s">
        <v>64</v>
      </c>
      <c r="E347" s="123" t="b">
        <f>IF(E341=TRUE,TRUE,FALSE)</f>
        <v>0</v>
      </c>
      <c r="F347" s="124"/>
    </row>
    <row r="348">
      <c r="A348" s="107" t="s">
        <v>1822</v>
      </c>
      <c r="B348" s="108"/>
      <c r="C348" s="108"/>
      <c r="D348" s="109"/>
      <c r="E348" s="110" t="b">
        <v>1</v>
      </c>
      <c r="F348" s="111"/>
    </row>
    <row r="349">
      <c r="A349" s="112" t="s">
        <v>1823</v>
      </c>
      <c r="B349" s="113"/>
      <c r="C349" s="113"/>
      <c r="D349" s="114"/>
      <c r="E349" s="115" t="b">
        <v>1</v>
      </c>
      <c r="F349" s="116"/>
    </row>
    <row r="350">
      <c r="A350" s="120" t="str">
        <f>HYPERLINK("https://github.com/pytorch/pytorch/blob/f99ab991dcd3719ee25dd3377a53ea12e518308e/test/distributed/tensor/test_api.py#L46", "DTensorAPITest")</f>
        <v>DTensorAPITest</v>
      </c>
      <c r="B350" s="25" t="s">
        <v>1824</v>
      </c>
      <c r="C350" s="25" t="s">
        <v>1825</v>
      </c>
      <c r="D350" s="25" t="s">
        <v>1543</v>
      </c>
      <c r="E350" s="121" t="b">
        <f>IF(E349=TRUE,TRUE,FALSE)</f>
        <v>1</v>
      </c>
      <c r="F350" s="133"/>
    </row>
    <row r="351">
      <c r="A351" s="117" t="str">
        <f>HYPERLINK("https://github.com/pytorch/pytorch/blob/f99ab991dcd3719ee25dd3377a53ea12e518308e/test/distributed/tensor/test_attention.py#L101", "RingAttentionTest")</f>
        <v>RingAttentionTest</v>
      </c>
      <c r="B351" s="30" t="s">
        <v>1826</v>
      </c>
      <c r="C351" s="30" t="s">
        <v>1827</v>
      </c>
      <c r="D351" s="30" t="s">
        <v>1543</v>
      </c>
      <c r="E351" s="118" t="b">
        <f>IF(E349=TRUE,TRUE,FALSE)</f>
        <v>1</v>
      </c>
      <c r="F351" s="134"/>
    </row>
    <row r="352">
      <c r="A352" s="120" t="str">
        <f>HYPERLINK("https://github.com/pytorch/pytorch/blob/f99ab991dcd3719ee25dd3377a53ea12e518308e/test/distributed/tensor/test_attention.py#L475", "CPFlexAttentionTest")</f>
        <v>CPFlexAttentionTest</v>
      </c>
      <c r="B352" s="25" t="s">
        <v>1826</v>
      </c>
      <c r="C352" s="25" t="s">
        <v>1828</v>
      </c>
      <c r="D352" s="25" t="s">
        <v>1543</v>
      </c>
      <c r="E352" s="121" t="b">
        <f>IF(E349=TRUE,TRUE,FALSE)</f>
        <v>1</v>
      </c>
      <c r="F352" s="133"/>
    </row>
    <row r="353">
      <c r="A353" s="117" t="str">
        <f>HYPERLINK("https://github.com/pytorch/pytorch/blob/f99ab991dcd3719ee25dd3377a53ea12e518308e/test/distributed/tensor/test_attention.py#L751", "TestCPCustomOps")</f>
        <v>TestCPCustomOps</v>
      </c>
      <c r="B353" s="30" t="s">
        <v>1826</v>
      </c>
      <c r="C353" s="30" t="s">
        <v>1829</v>
      </c>
      <c r="D353" s="30" t="s">
        <v>1543</v>
      </c>
      <c r="E353" s="118" t="b">
        <f>IF(E349=TRUE,TRUE,FALSE)</f>
        <v>1</v>
      </c>
      <c r="F353" s="134"/>
    </row>
    <row r="354">
      <c r="A354" s="120" t="str">
        <f>HYPERLINK("https://github.com/pytorch/pytorch/blob/f99ab991dcd3719ee25dd3377a53ea12e518308e/test/distributed/tensor/test_attention.py#L782", "TestSharding")</f>
        <v>TestSharding</v>
      </c>
      <c r="B354" s="25" t="s">
        <v>1826</v>
      </c>
      <c r="C354" s="25" t="s">
        <v>1830</v>
      </c>
      <c r="D354" s="25" t="s">
        <v>1543</v>
      </c>
      <c r="E354" s="121" t="b">
        <f>IF(E349=TRUE,TRUE,FALSE)</f>
        <v>1</v>
      </c>
      <c r="F354" s="133"/>
    </row>
    <row r="355">
      <c r="A355" s="117" t="str">
        <f>HYPERLINK("https://github.com/pytorch/pytorch/blob/f99ab991dcd3719ee25dd3377a53ea12e518308e/test/distributed/tensor/test_attention.py#L925", "TestContextParallelStyle")</f>
        <v>TestContextParallelStyle</v>
      </c>
      <c r="B355" s="30" t="s">
        <v>1826</v>
      </c>
      <c r="C355" s="30" t="s">
        <v>1831</v>
      </c>
      <c r="D355" s="30" t="s">
        <v>1543</v>
      </c>
      <c r="E355" s="118" t="b">
        <f>IF(E349=TRUE,TRUE,FALSE)</f>
        <v>1</v>
      </c>
      <c r="F355" s="134"/>
    </row>
    <row r="356">
      <c r="A356" s="120" t="str">
        <f>HYPERLINK("https://github.com/pytorch/pytorch/blob/f99ab991dcd3719ee25dd3377a53ea12e518308e/test/distributed/tensor/test_attention.py#L1094", "TestContextParallelStyleSDPA")</f>
        <v>TestContextParallelStyleSDPA</v>
      </c>
      <c r="B356" s="25" t="s">
        <v>1826</v>
      </c>
      <c r="C356" s="25" t="s">
        <v>1832</v>
      </c>
      <c r="D356" s="25" t="s">
        <v>1543</v>
      </c>
      <c r="E356" s="121" t="b">
        <f>IF(E349=TRUE,TRUE,FALSE)</f>
        <v>1</v>
      </c>
      <c r="F356" s="133"/>
    </row>
    <row r="357">
      <c r="A357" s="112" t="s">
        <v>1833</v>
      </c>
      <c r="B357" s="113"/>
      <c r="C357" s="113"/>
      <c r="D357" s="114"/>
      <c r="E357" s="115" t="b">
        <v>1</v>
      </c>
      <c r="F357" s="116"/>
    </row>
    <row r="358">
      <c r="A358" s="117" t="str">
        <f>HYPERLINK("https://github.com/pytorch/pytorch/blob/f99ab991dcd3719ee25dd3377a53ea12e518308e/test/distributed/tensor/test_common_rules.py#L18", "CommonRulesTest")</f>
        <v>CommonRulesTest</v>
      </c>
      <c r="B358" s="30" t="s">
        <v>1834</v>
      </c>
      <c r="C358" s="30" t="s">
        <v>1835</v>
      </c>
      <c r="D358" s="30" t="s">
        <v>1543</v>
      </c>
      <c r="E358" s="118" t="b">
        <f>IF(E357=TRUE,TRUE,FALSE)</f>
        <v>1</v>
      </c>
      <c r="F358" s="134"/>
    </row>
    <row r="359">
      <c r="A359" s="120" t="str">
        <f>HYPERLINK("https://github.com/pytorch/pytorch/blob/f99ab991dcd3719ee25dd3377a53ea12e518308e/test/distributed/tensor/test_compile_on_one_rank.py#L34", "TestCompileOnOneRank")</f>
        <v>TestCompileOnOneRank</v>
      </c>
      <c r="B359" s="25" t="s">
        <v>1836</v>
      </c>
      <c r="C359" s="25" t="s">
        <v>1837</v>
      </c>
      <c r="D359" s="25" t="s">
        <v>1543</v>
      </c>
      <c r="E359" s="121" t="b">
        <f>IF(E357=TRUE,TRUE,FALSE)</f>
        <v>1</v>
      </c>
      <c r="F359" s="133"/>
    </row>
    <row r="360">
      <c r="A360" s="117" t="str">
        <f>HYPERLINK("https://github.com/pytorch/pytorch/blob/f99ab991dcd3719ee25dd3377a53ea12e518308e/test/distributed/tensor/test_convolution_ops.py#L45", "DistConvolutionOpsTest")</f>
        <v>DistConvolutionOpsTest</v>
      </c>
      <c r="B360" s="30" t="s">
        <v>1838</v>
      </c>
      <c r="C360" s="30" t="s">
        <v>1839</v>
      </c>
      <c r="D360" s="30" t="s">
        <v>1543</v>
      </c>
      <c r="E360" s="118" t="b">
        <f>IF(E357=TRUE,TRUE,FALSE)</f>
        <v>1</v>
      </c>
      <c r="F360" s="134"/>
    </row>
    <row r="361">
      <c r="A361" s="120" t="str">
        <f>HYPERLINK("https://github.com/pytorch/pytorch/blob/f99ab991dcd3719ee25dd3377a53ea12e518308e/test/distributed/tensor/test_dtensor.py#L74", "DTensorTest")</f>
        <v>DTensorTest</v>
      </c>
      <c r="B361" s="25" t="s">
        <v>1840</v>
      </c>
      <c r="C361" s="25" t="s">
        <v>1841</v>
      </c>
      <c r="D361" s="25" t="s">
        <v>1543</v>
      </c>
      <c r="E361" s="121" t="b">
        <f>IF(E357=TRUE,TRUE,FALSE)</f>
        <v>1</v>
      </c>
      <c r="F361" s="133"/>
    </row>
    <row r="362">
      <c r="A362" s="117" t="str">
        <f>HYPERLINK("https://github.com/pytorch/pytorch/blob/f99ab991dcd3719ee25dd3377a53ea12e518308e/test/distributed/tensor/test_dtensor.py#L842", "DTensorMeshTest")</f>
        <v>DTensorMeshTest</v>
      </c>
      <c r="B362" s="30" t="s">
        <v>1840</v>
      </c>
      <c r="C362" s="30" t="s">
        <v>1842</v>
      </c>
      <c r="D362" s="30" t="s">
        <v>1543</v>
      </c>
      <c r="E362" s="118" t="b">
        <f>IF(E357=TRUE,TRUE,FALSE)</f>
        <v>1</v>
      </c>
      <c r="F362" s="134"/>
    </row>
    <row r="363">
      <c r="A363" s="120" t="str">
        <f>HYPERLINK("https://github.com/pytorch/pytorch/blob/f99ab991dcd3719ee25dd3377a53ea12e518308e/test/distributed/tensor/test_dtensor.py#L1286", "TestDTensorPlacementTypes")</f>
        <v>TestDTensorPlacementTypes</v>
      </c>
      <c r="B363" s="25" t="s">
        <v>1840</v>
      </c>
      <c r="C363" s="25" t="s">
        <v>1843</v>
      </c>
      <c r="D363" s="25" t="s">
        <v>1543</v>
      </c>
      <c r="E363" s="121" t="b">
        <f>IF(E357=TRUE,TRUE,FALSE)</f>
        <v>1</v>
      </c>
      <c r="F363" s="133"/>
    </row>
    <row r="364">
      <c r="A364" s="117" t="str">
        <f>HYPERLINK("https://github.com/pytorch/pytorch/blob/f99ab991dcd3719ee25dd3377a53ea12e518308e/test/distributed/tensor/test_dtensor.py#L1355", "TestDTensorSpec")</f>
        <v>TestDTensorSpec</v>
      </c>
      <c r="B364" s="30" t="s">
        <v>1840</v>
      </c>
      <c r="C364" s="30" t="s">
        <v>1844</v>
      </c>
      <c r="D364" s="30" t="s">
        <v>1543</v>
      </c>
      <c r="E364" s="118" t="b">
        <f>IF(E357=TRUE,TRUE,FALSE)</f>
        <v>1</v>
      </c>
      <c r="F364" s="134"/>
    </row>
    <row r="365">
      <c r="A365" s="135" t="str">
        <f>HYPERLINK("https://github.com/pytorch/pytorch/blob/f99ab991dcd3719ee25dd3377a53ea12e518308e/test/distributed/tensor/test_dtensor.py#L1531", "TestMixedPartialTypes")</f>
        <v>TestMixedPartialTypes</v>
      </c>
      <c r="B365" s="1" t="s">
        <v>1840</v>
      </c>
      <c r="C365" s="1" t="s">
        <v>1845</v>
      </c>
      <c r="D365" s="1" t="s">
        <v>1846</v>
      </c>
      <c r="E365" s="136" t="b">
        <v>1</v>
      </c>
      <c r="F365" s="1"/>
    </row>
    <row r="366">
      <c r="A366" s="120" t="str">
        <f>HYPERLINK("https://github.com/pytorch/pytorch/blob/f99ab991dcd3719ee25dd3377a53ea12e518308e/test/distributed/tensor/test_dtensor_compile.py#L177", "TestDTensorCompile")</f>
        <v>TestDTensorCompile</v>
      </c>
      <c r="B366" s="25" t="s">
        <v>1847</v>
      </c>
      <c r="C366" s="25" t="s">
        <v>1848</v>
      </c>
      <c r="D366" s="25" t="s">
        <v>1849</v>
      </c>
      <c r="E366" s="121" t="b">
        <f>IF(E357=TRUE,TRUE,FALSE)</f>
        <v>1</v>
      </c>
      <c r="F366" s="133"/>
    </row>
    <row r="367">
      <c r="A367" s="117" t="str">
        <f>HYPERLINK("https://github.com/pytorch/pytorch/blob/f99ab991dcd3719ee25dd3377a53ea12e518308e/test/distributed/tensor/test_dtensor_compile.py#L1580", "TestDTensorCompileE2E")</f>
        <v>TestDTensorCompileE2E</v>
      </c>
      <c r="B367" s="30" t="s">
        <v>1847</v>
      </c>
      <c r="C367" s="30" t="s">
        <v>1850</v>
      </c>
      <c r="D367" s="30" t="s">
        <v>1543</v>
      </c>
      <c r="E367" s="118" t="b">
        <f>IF(E357=TRUE,TRUE,FALSE)</f>
        <v>1</v>
      </c>
      <c r="F367" s="134"/>
    </row>
    <row r="368">
      <c r="A368" s="147" t="str">
        <f>HYPERLINK("https://github.com/pytorch/pytorch/blob/f99ab991dcd3719ee25dd3377a53ea12e518308e/test/distributed/tensor/test_dtensor_export.py#L179", "DTensorExportTest")</f>
        <v>DTensorExportTest</v>
      </c>
      <c r="B368" s="148" t="s">
        <v>1851</v>
      </c>
      <c r="C368" s="148" t="s">
        <v>1852</v>
      </c>
      <c r="D368" s="148" t="s">
        <v>1853</v>
      </c>
      <c r="E368" s="149" t="s">
        <v>310</v>
      </c>
      <c r="F368" s="150"/>
    </row>
    <row r="369">
      <c r="A369" s="117" t="str">
        <f>HYPERLINK("https://github.com/pytorch/pytorch/blob/f99ab991dcd3719ee25dd3377a53ea12e518308e/test/distributed/tensor/test_dtensor_ops.py#L492", "TestDTensorOps")</f>
        <v>TestDTensorOps</v>
      </c>
      <c r="B369" s="30" t="s">
        <v>1854</v>
      </c>
      <c r="C369" s="30" t="s">
        <v>1855</v>
      </c>
      <c r="D369" s="30" t="s">
        <v>1856</v>
      </c>
      <c r="E369" s="118" t="b">
        <f>IF(E357=TRUE,TRUE,FALSE)</f>
        <v>1</v>
      </c>
      <c r="F369" s="134"/>
    </row>
    <row r="370">
      <c r="A370" s="120" t="str">
        <f>HYPERLINK("https://github.com/pytorch/pytorch/blob/f99ab991dcd3719ee25dd3377a53ea12e518308e/test/distributed/tensor/test_dtensor_ops.py#L732", "TestMultiThreadedDTensorOps")</f>
        <v>TestMultiThreadedDTensorOps</v>
      </c>
      <c r="B370" s="25" t="s">
        <v>1854</v>
      </c>
      <c r="C370" s="25" t="s">
        <v>1857</v>
      </c>
      <c r="D370" s="25" t="s">
        <v>1856</v>
      </c>
      <c r="E370" s="121" t="b">
        <f>IF(E357=TRUE,TRUE,FALSE)</f>
        <v>1</v>
      </c>
      <c r="F370" s="133"/>
    </row>
    <row r="371">
      <c r="A371" s="117" t="str">
        <f>HYPERLINK("https://github.com/pytorch/pytorch/blob/f99ab991dcd3719ee25dd3377a53ea12e518308e/test/distributed/tensor/test_dtensor_ops.py#L753", "TestLocalDTensorOps")</f>
        <v>TestLocalDTensorOps</v>
      </c>
      <c r="B371" s="30" t="s">
        <v>1854</v>
      </c>
      <c r="C371" s="30" t="s">
        <v>1858</v>
      </c>
      <c r="D371" s="30" t="s">
        <v>1856</v>
      </c>
      <c r="E371" s="118" t="b">
        <f>IF(E357=TRUE,TRUE,FALSE)</f>
        <v>1</v>
      </c>
      <c r="F371" s="134"/>
    </row>
    <row r="372">
      <c r="A372" s="120" t="str">
        <f>HYPERLINK("https://github.com/pytorch/pytorch/blob/f99ab991dcd3719ee25dd3377a53ea12e518308e/test/distributed/tensor/test_dtensor_ops.py#L1103", "TestSingleDimStrategies")</f>
        <v>TestSingleDimStrategies</v>
      </c>
      <c r="B372" s="25" t="s">
        <v>1854</v>
      </c>
      <c r="C372" s="25" t="s">
        <v>1859</v>
      </c>
      <c r="D372" s="25" t="s">
        <v>1856</v>
      </c>
      <c r="E372" s="121" t="b">
        <f>IF(E357=TRUE,TRUE,FALSE)</f>
        <v>1</v>
      </c>
      <c r="F372" s="133"/>
    </row>
    <row r="373">
      <c r="A373" s="135" t="str">
        <f>HYPERLINK("https://github.com/pytorch/pytorch/blob/f99ab991dcd3719ee25dd3377a53ea12e518308e/test/distributed/tensor/test_dtensor_ops.py#L981", "TestUnbackedDTensorOps")</f>
        <v>TestUnbackedDTensorOps</v>
      </c>
      <c r="B373" s="1" t="s">
        <v>1854</v>
      </c>
      <c r="C373" s="1" t="s">
        <v>1860</v>
      </c>
      <c r="D373" s="1" t="s">
        <v>1856</v>
      </c>
      <c r="E373" s="136" t="b">
        <v>1</v>
      </c>
      <c r="F373" s="1"/>
    </row>
    <row r="374">
      <c r="A374" s="117" t="str">
        <f>HYPERLINK("https://github.com/pytorch/pytorch/blob/f99ab991dcd3719ee25dd3377a53ea12e518308e/test/distributed/tensor/test_dtensor_testbase.py#L14", "DTensorTestBaseUtilCPUTest")</f>
        <v>DTensorTestBaseUtilCPUTest</v>
      </c>
      <c r="B374" s="30" t="s">
        <v>1861</v>
      </c>
      <c r="C374" s="30" t="s">
        <v>1862</v>
      </c>
      <c r="D374" s="30" t="s">
        <v>1863</v>
      </c>
      <c r="E374" s="118" t="b">
        <f>IF(E357=TRUE,TRUE,FALSE)</f>
        <v>1</v>
      </c>
      <c r="F374" s="134"/>
    </row>
    <row r="375">
      <c r="A375" s="120" t="str">
        <f>HYPERLINK("https://github.com/pytorch/pytorch/blob/f99ab991dcd3719ee25dd3377a53ea12e518308e/test/distributed/tensor/test_dynamic.py#L23", "TestDynamic")</f>
        <v>TestDynamic</v>
      </c>
      <c r="B375" s="25" t="s">
        <v>1864</v>
      </c>
      <c r="C375" s="25" t="s">
        <v>1865</v>
      </c>
      <c r="D375" s="25" t="s">
        <v>1543</v>
      </c>
      <c r="E375" s="121" t="b">
        <f>IF(E357=TRUE,TRUE,FALSE)</f>
        <v>1</v>
      </c>
      <c r="F375" s="133"/>
    </row>
    <row r="376">
      <c r="A376" s="117" t="str">
        <f>HYPERLINK("https://github.com/pytorch/pytorch/blob/f99ab991dcd3719ee25dd3377a53ea12e518308e/test/distributed/tensor/test_embedding_ops.py#L33", "TestEmbeddingOp")</f>
        <v>TestEmbeddingOp</v>
      </c>
      <c r="B376" s="30" t="s">
        <v>1866</v>
      </c>
      <c r="C376" s="30" t="s">
        <v>1867</v>
      </c>
      <c r="D376" s="30" t="s">
        <v>1543</v>
      </c>
      <c r="E376" s="118" t="b">
        <f>IF(E357=TRUE,TRUE,FALSE)</f>
        <v>1</v>
      </c>
      <c r="F376" s="134"/>
    </row>
    <row r="377">
      <c r="A377" s="120" t="str">
        <f>HYPERLINK("https://github.com/pytorch/pytorch/blob/f99ab991dcd3719ee25dd3377a53ea12e518308e/test/distributed/tensor/test_experimental_ops.py#L20", "DistOtherOpsTest")</f>
        <v>DistOtherOpsTest</v>
      </c>
      <c r="B377" s="25" t="s">
        <v>1868</v>
      </c>
      <c r="C377" s="25" t="s">
        <v>1869</v>
      </c>
      <c r="D377" s="25" t="s">
        <v>1543</v>
      </c>
      <c r="E377" s="121" t="b">
        <f>IF(E357=TRUE,TRUE,FALSE)</f>
        <v>1</v>
      </c>
      <c r="F377" s="133"/>
    </row>
    <row r="378">
      <c r="A378" s="117" t="str">
        <f>HYPERLINK("https://github.com/pytorch/pytorch/blob/f99ab991dcd3719ee25dd3377a53ea12e518308e/test/distributed/tensor/test_init.py#L15", "DTensorInitOpsTest")</f>
        <v>DTensorInitOpsTest</v>
      </c>
      <c r="B378" s="30" t="s">
        <v>1870</v>
      </c>
      <c r="C378" s="30" t="s">
        <v>1871</v>
      </c>
      <c r="D378" s="30" t="s">
        <v>1543</v>
      </c>
      <c r="E378" s="118" t="b">
        <f>IF(E357=TRUE,TRUE,FALSE)</f>
        <v>1</v>
      </c>
      <c r="F378" s="134"/>
    </row>
    <row r="379">
      <c r="A379" s="120" t="str">
        <f>HYPERLINK("https://github.com/pytorch/pytorch/blob/f99ab991dcd3719ee25dd3377a53ea12e518308e/test/distributed/tensor/test_init.py#L50", "DTensorConstructorTest")</f>
        <v>DTensorConstructorTest</v>
      </c>
      <c r="B379" s="25" t="s">
        <v>1870</v>
      </c>
      <c r="C379" s="25" t="s">
        <v>1872</v>
      </c>
      <c r="D379" s="25" t="s">
        <v>1543</v>
      </c>
      <c r="E379" s="121" t="b">
        <f>IF(E357=TRUE,TRUE,FALSE)</f>
        <v>1</v>
      </c>
      <c r="F379" s="133"/>
    </row>
    <row r="380">
      <c r="A380" s="117" t="str">
        <f>HYPERLINK("https://github.com/pytorch/pytorch/blob/f99ab991dcd3719ee25dd3377a53ea12e518308e/test/distributed/tensor/test_math_ops.py#L43", "DistMathOpsTest")</f>
        <v>DistMathOpsTest</v>
      </c>
      <c r="B380" s="30" t="s">
        <v>1873</v>
      </c>
      <c r="C380" s="30" t="s">
        <v>1874</v>
      </c>
      <c r="D380" s="30" t="s">
        <v>1543</v>
      </c>
      <c r="E380" s="118" t="b">
        <f>IF(E357=TRUE,TRUE,FALSE)</f>
        <v>1</v>
      </c>
      <c r="F380" s="134"/>
    </row>
    <row r="381">
      <c r="A381" s="120" t="str">
        <f>HYPERLINK("https://github.com/pytorch/pytorch/blob/f99ab991dcd3719ee25dd3377a53ea12e518308e/test/distributed/tensor/test_matrix_ops.py#L62", "DistMatrixOpsTest")</f>
        <v>DistMatrixOpsTest</v>
      </c>
      <c r="B381" s="25" t="s">
        <v>1875</v>
      </c>
      <c r="C381" s="25" t="s">
        <v>1876</v>
      </c>
      <c r="D381" s="25" t="s">
        <v>1543</v>
      </c>
      <c r="E381" s="121" t="b">
        <f>IF(E357=TRUE,TRUE,FALSE)</f>
        <v>1</v>
      </c>
      <c r="F381" s="133"/>
    </row>
    <row r="382">
      <c r="A382" s="135" t="str">
        <f>HYPERLINK("https://github.com/pytorch/pytorch/blob/f99ab991dcd3719ee25dd3377a53ea12e518308e/test/distributed/tensor/test_decompositions.py#L23", "TestDecompSharding")</f>
        <v>TestDecompSharding</v>
      </c>
      <c r="B382" s="1" t="s">
        <v>1877</v>
      </c>
      <c r="C382" s="1" t="s">
        <v>1878</v>
      </c>
      <c r="D382" s="1" t="s">
        <v>1846</v>
      </c>
      <c r="E382" s="136" t="b">
        <v>1</v>
      </c>
      <c r="F382" s="1"/>
    </row>
    <row r="383">
      <c r="A383" s="135" t="str">
        <f>HYPERLINK("https://github.com/pytorch/pytorch/blob/f99ab991dcd3719ee25dd3377a53ea12e518308e/test/distributed/tensor/test_decompositions.py#L208", "TestDecompShardingWithComms")</f>
        <v>TestDecompShardingWithComms</v>
      </c>
      <c r="B383" s="1" t="s">
        <v>1877</v>
      </c>
      <c r="C383" s="1" t="s">
        <v>1879</v>
      </c>
      <c r="D383" s="1" t="s">
        <v>1846</v>
      </c>
      <c r="E383" s="136" t="b">
        <v>1</v>
      </c>
      <c r="F383" s="1"/>
    </row>
    <row r="384">
      <c r="A384" s="112" t="s">
        <v>1880</v>
      </c>
      <c r="B384" s="113"/>
      <c r="C384" s="113"/>
      <c r="D384" s="114"/>
      <c r="E384" s="115" t="b">
        <v>1</v>
      </c>
      <c r="F384" s="116"/>
    </row>
    <row r="385">
      <c r="A385" s="117" t="str">
        <f>HYPERLINK("https://github.com/pytorch/pytorch/blob/f99ab991dcd3719ee25dd3377a53ea12e518308e/test/distributed/tensor/test_op_schema.py#L11", "TestOpSchema")</f>
        <v>TestOpSchema</v>
      </c>
      <c r="B385" s="30" t="s">
        <v>1881</v>
      </c>
      <c r="C385" s="30" t="s">
        <v>1882</v>
      </c>
      <c r="D385" s="30" t="s">
        <v>64</v>
      </c>
      <c r="E385" s="118" t="b">
        <f>IF(E384=TRUE,TRUE,FALSE)</f>
        <v>1</v>
      </c>
      <c r="F385" s="134"/>
    </row>
    <row r="386">
      <c r="A386" s="120" t="str">
        <f>HYPERLINK("https://github.com/pytorch/pytorch/blob/f99ab991dcd3719ee25dd3377a53ea12e518308e/test/distributed/tensor/test_op_strategy.py#L59", "TestEinsumDims")</f>
        <v>TestEinsumDims</v>
      </c>
      <c r="B386" s="25" t="s">
        <v>1883</v>
      </c>
      <c r="C386" s="25" t="s">
        <v>1884</v>
      </c>
      <c r="D386" s="25" t="s">
        <v>64</v>
      </c>
      <c r="E386" s="121" t="b">
        <f>IF(E384=TRUE,TRUE,FALSE)</f>
        <v>1</v>
      </c>
      <c r="F386" s="133"/>
    </row>
    <row r="387">
      <c r="A387" s="117" t="str">
        <f>HYPERLINK("https://github.com/pytorch/pytorch/blob/f99ab991dcd3719ee25dd3377a53ea12e518308e/test/distributed/tensor/test_op_strategy.py#L119", "TestEinsumStrategies")</f>
        <v>TestEinsumStrategies</v>
      </c>
      <c r="B387" s="30" t="s">
        <v>1883</v>
      </c>
      <c r="C387" s="30" t="s">
        <v>1885</v>
      </c>
      <c r="D387" s="30" t="s">
        <v>1543</v>
      </c>
      <c r="E387" s="118" t="b">
        <f>IF(E384=TRUE,TRUE,FALSE)</f>
        <v>1</v>
      </c>
      <c r="F387" s="134"/>
    </row>
    <row r="388">
      <c r="A388" s="120" t="str">
        <f>HYPERLINK("https://github.com/pytorch/pytorch/blob/f99ab991dcd3719ee25dd3377a53ea12e518308e/test/distributed/tensor/test_op_strategy.py#L174", "TestCostModel")</f>
        <v>TestCostModel</v>
      </c>
      <c r="B388" s="25" t="s">
        <v>1883</v>
      </c>
      <c r="C388" s="25" t="s">
        <v>1886</v>
      </c>
      <c r="D388" s="25" t="s">
        <v>1543</v>
      </c>
      <c r="E388" s="121" t="b">
        <f>IF(E384=TRUE,TRUE,FALSE)</f>
        <v>1</v>
      </c>
      <c r="F388" s="133"/>
    </row>
    <row r="389">
      <c r="A389" s="117" t="str">
        <f>HYPERLINK("https://github.com/pytorch/pytorch/blob/f99ab991dcd3719ee25dd3377a53ea12e518308e/test/distributed/tensor/test_op_strategy.py#L582", "DistTensorReplicateStrategyRegistrationTest")</f>
        <v>DistTensorReplicateStrategyRegistrationTest</v>
      </c>
      <c r="B389" s="30" t="s">
        <v>1883</v>
      </c>
      <c r="C389" s="30" t="s">
        <v>1887</v>
      </c>
      <c r="D389" s="30" t="s">
        <v>1543</v>
      </c>
      <c r="E389" s="118" t="b">
        <f>IF(E384=TRUE,TRUE,FALSE)</f>
        <v>1</v>
      </c>
      <c r="F389" s="134"/>
    </row>
    <row r="390">
      <c r="A390" s="135" t="str">
        <f>HYPERLINK("https://github.com/pytorch/pytorch/blob/f99ab991dcd3719ee25dd3377a53ea12e518308e/test/distributed/tensor/test_dtensor_dispatch_overhead.py#L64", "DistOpDispatchOverHead")</f>
        <v>DistOpDispatchOverHead</v>
      </c>
      <c r="B390" s="1" t="s">
        <v>1888</v>
      </c>
      <c r="C390" s="1" t="s">
        <v>1889</v>
      </c>
      <c r="D390" s="1" t="s">
        <v>1846</v>
      </c>
      <c r="E390" s="136" t="b">
        <v>1</v>
      </c>
      <c r="F390" s="1"/>
    </row>
    <row r="391">
      <c r="A391" s="120" t="str">
        <f>HYPERLINK("https://github.com/pytorch/pytorch/blob/f99ab991dcd3719ee25dd3377a53ea12e518308e/test/distributed/tensor/test_op_strategy.py#L673", "TestStrategyHashing")</f>
        <v>TestStrategyHashing</v>
      </c>
      <c r="B391" s="25" t="s">
        <v>1883</v>
      </c>
      <c r="C391" s="25" t="s">
        <v>1890</v>
      </c>
      <c r="D391" s="25" t="s">
        <v>1543</v>
      </c>
      <c r="E391" s="121" t="b">
        <f>IF(E384=TRUE,TRUE,FALSE)</f>
        <v>1</v>
      </c>
      <c r="F391" s="133"/>
    </row>
    <row r="392">
      <c r="A392" s="117" t="str">
        <f>HYPERLINK("https://github.com/pytorch/pytorch/blob/f99ab991dcd3719ee25dd3377a53ea12e518308e/test/distributed/tensor/test_op_strategy.py#L696", "TestStrategyOperation")</f>
        <v>TestStrategyOperation</v>
      </c>
      <c r="B392" s="30" t="s">
        <v>1883</v>
      </c>
      <c r="C392" s="30" t="s">
        <v>1891</v>
      </c>
      <c r="D392" s="30" t="s">
        <v>1543</v>
      </c>
      <c r="E392" s="118" t="b">
        <f>IF(E384=TRUE,TRUE,FALSE)</f>
        <v>1</v>
      </c>
      <c r="F392" s="134"/>
    </row>
    <row r="393">
      <c r="A393" s="120" t="str">
        <f>HYPERLINK("https://github.com/pytorch/pytorch/blob/f99ab991dcd3719ee25dd3377a53ea12e518308e/test/distributed/tensor/test_op_strategy.py#L729", "TestOpSchemaMetaProperties")</f>
        <v>TestOpSchemaMetaProperties</v>
      </c>
      <c r="B393" s="25" t="s">
        <v>1883</v>
      </c>
      <c r="C393" s="25" t="s">
        <v>1892</v>
      </c>
      <c r="D393" s="25" t="s">
        <v>1893</v>
      </c>
      <c r="E393" s="121" t="b">
        <f>IF(E384=TRUE,TRUE,FALSE)</f>
        <v>1</v>
      </c>
      <c r="F393" s="133"/>
    </row>
    <row r="394">
      <c r="A394" s="117" t="str">
        <f>HYPERLINK("https://github.com/pytorch/pytorch/blob/f99ab991dcd3719ee25dd3377a53ea12e518308e/test/distributed/tensor/test_op_strategy.py#L868", "TestExpandToFullMeshOpStrategy")</f>
        <v>TestExpandToFullMeshOpStrategy</v>
      </c>
      <c r="B394" s="30" t="s">
        <v>1883</v>
      </c>
      <c r="C394" s="30" t="s">
        <v>1894</v>
      </c>
      <c r="D394" s="30" t="s">
        <v>1893</v>
      </c>
      <c r="E394" s="118" t="b">
        <f>IF(E384=TRUE,TRUE,FALSE)</f>
        <v>1</v>
      </c>
      <c r="F394" s="134"/>
    </row>
    <row r="395">
      <c r="A395" s="135" t="str">
        <f>HYPERLINK("https://github.com/pytorch/pytorch/blob/f99ab991dcd3719ee25dd3377a53ea12e518308e/test/distributed/tensor/test_op_strategy.py#L1112", "TestUnsupportedDTensorOp")</f>
        <v>TestUnsupportedDTensorOp</v>
      </c>
      <c r="B395" s="1" t="s">
        <v>1883</v>
      </c>
      <c r="C395" s="1" t="s">
        <v>1895</v>
      </c>
      <c r="D395" s="1" t="s">
        <v>1846</v>
      </c>
      <c r="E395" s="136" t="b">
        <v>1</v>
      </c>
      <c r="F395" s="1"/>
    </row>
    <row r="396">
      <c r="A396" s="135" t="str">
        <f>HYPERLINK("https://github.com/pytorch/pytorch/blob/f99ab991dcd3719ee25dd3377a53ea12e518308e/test/distributed/tensor/test_strategy_validation.py#L31", "TestPlacementUtilities")</f>
        <v>TestPlacementUtilities</v>
      </c>
      <c r="B396" s="1" t="s">
        <v>1896</v>
      </c>
      <c r="C396" s="1" t="s">
        <v>1897</v>
      </c>
      <c r="D396" s="1" t="s">
        <v>1846</v>
      </c>
      <c r="E396" s="136" t="b">
        <v>1</v>
      </c>
      <c r="F396" s="1"/>
    </row>
    <row r="397">
      <c r="A397" s="135" t="str">
        <f>HYPERLINK("https://github.com/pytorch/pytorch/blob/f99ab991dcd3719ee25dd3377a53ea12e518308e/test/distributed/tensor/test_strategy_validation.py#L74", "TestPlacementNormalization")</f>
        <v>TestPlacementNormalization</v>
      </c>
      <c r="B397" s="1" t="s">
        <v>1896</v>
      </c>
      <c r="C397" s="1" t="s">
        <v>1898</v>
      </c>
      <c r="D397" s="1" t="s">
        <v>1846</v>
      </c>
      <c r="E397" s="136" t="b">
        <v>1</v>
      </c>
      <c r="F397" s="1"/>
    </row>
    <row r="398">
      <c r="A398" s="135" t="str">
        <f>HYPERLINK("https://github.com/pytorch/pytorch/blob/f99ab991dcd3719ee25dd3377a53ea12e518308e/test/distributed/tensor/test_strategy_validation.py#L214", "TestInputPlacements")</f>
        <v>TestInputPlacements</v>
      </c>
      <c r="B398" s="1" t="s">
        <v>1896</v>
      </c>
      <c r="C398" s="1" t="s">
        <v>1899</v>
      </c>
      <c r="D398" s="1" t="s">
        <v>1846</v>
      </c>
      <c r="E398" s="136" t="b">
        <v>1</v>
      </c>
      <c r="F398" s="1"/>
    </row>
    <row r="399">
      <c r="A399" s="135" t="str">
        <f>HYPERLINK("https://github.com/pytorch/pytorch/blob/f99ab991dcd3719ee25dd3377a53ea12e518308e/test/distributed/tensor/test_strategy_validation.py#L293", "TestExtractTensors")</f>
        <v>TestExtractTensors</v>
      </c>
      <c r="B399" s="1" t="s">
        <v>1896</v>
      </c>
      <c r="C399" s="1" t="s">
        <v>1900</v>
      </c>
      <c r="D399" s="1" t="s">
        <v>1846</v>
      </c>
      <c r="E399" s="136" t="b">
        <v>1</v>
      </c>
      <c r="F399" s="1"/>
    </row>
    <row r="400">
      <c r="A400" s="112" t="s">
        <v>1901</v>
      </c>
      <c r="B400" s="113"/>
      <c r="C400" s="113"/>
      <c r="D400" s="114"/>
      <c r="E400" s="115" t="b">
        <v>1</v>
      </c>
      <c r="F400" s="116"/>
    </row>
    <row r="401">
      <c r="A401" s="120" t="str">
        <f>HYPERLINK("https://github.com/pytorch/pytorch/blob/f99ab991dcd3719ee25dd3377a53ea12e518308e/test/distributed/tensor/test_optimizers.py#L51", "TestDTensorOptimizer")</f>
        <v>TestDTensorOptimizer</v>
      </c>
      <c r="B401" s="25" t="s">
        <v>1902</v>
      </c>
      <c r="C401" s="25" t="s">
        <v>1903</v>
      </c>
      <c r="D401" s="25" t="s">
        <v>1543</v>
      </c>
      <c r="E401" s="121" t="b">
        <f>IF(E400=TRUE,TRUE,FALSE)</f>
        <v>1</v>
      </c>
      <c r="F401" s="133"/>
    </row>
    <row r="402">
      <c r="A402" s="117" t="str">
        <f>HYPERLINK("https://github.com/pytorch/pytorch/blob/f99ab991dcd3719ee25dd3377a53ea12e518308e/test/distributed/tensor/test_placement_types.py#L17", "PlacementTypesTestCase")</f>
        <v>PlacementTypesTestCase</v>
      </c>
      <c r="B402" s="30" t="s">
        <v>1904</v>
      </c>
      <c r="C402" s="30" t="s">
        <v>1905</v>
      </c>
      <c r="D402" s="30" t="s">
        <v>64</v>
      </c>
      <c r="E402" s="118" t="b">
        <f>IF(E400=TRUE,TRUE,FALSE)</f>
        <v>1</v>
      </c>
      <c r="F402" s="134"/>
    </row>
    <row r="403">
      <c r="A403" s="120" t="str">
        <f>HYPERLINK("https://github.com/pytorch/pytorch/blob/f99ab991dcd3719ee25dd3377a53ea12e518308e/test/distributed/tensor/test_pointwise_ops.py#L82", "DistElementwiseOpsTest")</f>
        <v>DistElementwiseOpsTest</v>
      </c>
      <c r="B403" s="25" t="s">
        <v>1906</v>
      </c>
      <c r="C403" s="25" t="s">
        <v>1907</v>
      </c>
      <c r="D403" s="25" t="s">
        <v>1543</v>
      </c>
      <c r="E403" s="121" t="b">
        <f>IF(E400=TRUE,TRUE,FALSE)</f>
        <v>1</v>
      </c>
      <c r="F403" s="133"/>
    </row>
    <row r="404">
      <c r="A404" s="117" t="str">
        <f>HYPERLINK("https://github.com/pytorch/pytorch/blob/f99ab991dcd3719ee25dd3377a53ea12e518308e/test/distributed/tensor/test_random_ops.py#L46", "DistTensorRandomInitTest")</f>
        <v>DistTensorRandomInitTest</v>
      </c>
      <c r="B404" s="30" t="s">
        <v>1908</v>
      </c>
      <c r="C404" s="30" t="s">
        <v>1909</v>
      </c>
      <c r="D404" s="30" t="s">
        <v>1543</v>
      </c>
      <c r="E404" s="118" t="b">
        <f>IF(E400=TRUE,TRUE,FALSE)</f>
        <v>1</v>
      </c>
      <c r="F404" s="134"/>
    </row>
    <row r="405">
      <c r="A405" s="120" t="str">
        <f>HYPERLINK("https://github.com/pytorch/pytorch/blob/f99ab991dcd3719ee25dd3377a53ea12e518308e/test/distributed/tensor/test_random_ops.py#L333", "DistTensorRandomOpTest")</f>
        <v>DistTensorRandomOpTest</v>
      </c>
      <c r="B405" s="25" t="s">
        <v>1908</v>
      </c>
      <c r="C405" s="25" t="s">
        <v>1910</v>
      </c>
      <c r="D405" s="25" t="s">
        <v>1543</v>
      </c>
      <c r="E405" s="121" t="b">
        <f>IF(E400=TRUE,TRUE,FALSE)</f>
        <v>1</v>
      </c>
      <c r="F405" s="133"/>
    </row>
    <row r="406">
      <c r="A406" s="117" t="str">
        <f>HYPERLINK("https://github.com/pytorch/pytorch/blob/f99ab991dcd3719ee25dd3377a53ea12e518308e/test/distributed/tensor/test_random_ops.py#L694", "DistTensorRandomOpsTest3D")</f>
        <v>DistTensorRandomOpsTest3D</v>
      </c>
      <c r="B406" s="30" t="s">
        <v>1908</v>
      </c>
      <c r="C406" s="30" t="s">
        <v>1911</v>
      </c>
      <c r="D406" s="30" t="s">
        <v>1543</v>
      </c>
      <c r="E406" s="118" t="b">
        <f>IF(E400=TRUE,TRUE,FALSE)</f>
        <v>1</v>
      </c>
      <c r="F406" s="134"/>
    </row>
    <row r="407">
      <c r="A407" s="112" t="s">
        <v>1912</v>
      </c>
      <c r="B407" s="113"/>
      <c r="C407" s="113"/>
      <c r="D407" s="114"/>
      <c r="E407" s="115" t="b">
        <v>1</v>
      </c>
      <c r="F407" s="116"/>
    </row>
    <row r="408">
      <c r="A408" s="120" t="str">
        <f>HYPERLINK("https://github.com/pytorch/pytorch/blob/f99ab991dcd3719ee25dd3377a53ea12e518308e/test/distributed/tensor/test_redistribute.py#L69", "RedistributeTest")</f>
        <v>RedistributeTest</v>
      </c>
      <c r="B408" s="25" t="s">
        <v>1913</v>
      </c>
      <c r="C408" s="25" t="s">
        <v>1914</v>
      </c>
      <c r="D408" s="25" t="s">
        <v>1543</v>
      </c>
      <c r="E408" s="121" t="b">
        <f>IF(E407=TRUE,TRUE,FALSE)</f>
        <v>1</v>
      </c>
      <c r="F408" s="133"/>
    </row>
    <row r="409">
      <c r="A409" s="117" t="str">
        <f>HYPERLINK("https://github.com/pytorch/pytorch/blob/f99ab991dcd3719ee25dd3377a53ea12e518308e/test/distributed/tensor/test_redistribute.py#L1019", "MultiDimRedistributeTest")</f>
        <v>MultiDimRedistributeTest</v>
      </c>
      <c r="B409" s="30" t="s">
        <v>1913</v>
      </c>
      <c r="C409" s="30" t="s">
        <v>1915</v>
      </c>
      <c r="D409" s="30" t="s">
        <v>1543</v>
      </c>
      <c r="E409" s="118" t="b">
        <f>IF(E407=TRUE,TRUE,FALSE)</f>
        <v>1</v>
      </c>
      <c r="F409" s="134"/>
    </row>
    <row r="410">
      <c r="A410" s="120" t="str">
        <f>HYPERLINK("https://github.com/pytorch/pytorch/blob/f99ab991dcd3719ee25dd3377a53ea12e518308e/test/distributed/tensor/test_redistribute.py#L1111", "DistributeWithDeviceOrderTest")</f>
        <v>DistributeWithDeviceOrderTest</v>
      </c>
      <c r="B410" s="25" t="s">
        <v>1913</v>
      </c>
      <c r="C410" s="25" t="s">
        <v>1916</v>
      </c>
      <c r="D410" s="25" t="s">
        <v>1543</v>
      </c>
      <c r="E410" s="121" t="b">
        <f>IF(E407=TRUE,TRUE,FALSE)</f>
        <v>1</v>
      </c>
      <c r="F410" s="133"/>
    </row>
    <row r="411">
      <c r="A411" s="117" t="str">
        <f>HYPERLINK("https://github.com/pytorch/pytorch/blob/f99ab991dcd3719ee25dd3377a53ea12e518308e/test/distributed/tensor/test_redistribute.py#L1668", "DistributeWithStridedShardTest")</f>
        <v>DistributeWithStridedShardTest</v>
      </c>
      <c r="B411" s="30" t="s">
        <v>1913</v>
      </c>
      <c r="C411" s="30" t="s">
        <v>1917</v>
      </c>
      <c r="D411" s="30" t="s">
        <v>1543</v>
      </c>
      <c r="E411" s="118" t="b">
        <f>IF(E407=TRUE,TRUE,FALSE)</f>
        <v>1</v>
      </c>
      <c r="F411" s="134"/>
    </row>
    <row r="412">
      <c r="A412" s="135" t="str">
        <f>HYPERLINK("https://github.com/pytorch/pytorch/blob/f99ab991dcd3719ee25dd3377a53ea12e518308e/test/distributed/tensor/test_redistribute.py#L1779", "TransformInfoTest")</f>
        <v>TransformInfoTest</v>
      </c>
      <c r="B412" s="1" t="s">
        <v>1913</v>
      </c>
      <c r="C412" s="1" t="s">
        <v>1918</v>
      </c>
      <c r="D412" s="1" t="s">
        <v>1846</v>
      </c>
      <c r="E412" s="136" t="b">
        <v>1</v>
      </c>
      <c r="F412" s="1"/>
    </row>
    <row r="413">
      <c r="A413" s="135" t="str">
        <f>HYPERLINK("https://github.com/pytorch/pytorch/blob/f99ab991dcd3719ee25dd3377a53ea12e518308e/test/distributed/tensor/test_redistribute.py#L1808", "OptimizeFlattenedReductionsTest")</f>
        <v>OptimizeFlattenedReductionsTest</v>
      </c>
      <c r="B413" s="1" t="s">
        <v>1913</v>
      </c>
      <c r="C413" s="1" t="s">
        <v>1919</v>
      </c>
      <c r="D413" s="1" t="s">
        <v>1846</v>
      </c>
      <c r="E413" s="136" t="b">
        <v>1</v>
      </c>
      <c r="F413" s="1"/>
    </row>
    <row r="414">
      <c r="A414" s="135" t="str">
        <f>HYPERLINK("https://github.com/pytorch/pytorch/blob/f99ab991dcd3719ee25dd3377a53ea12e518308e/test/distributed/tensor/test_redistribute.py#L2421", "MultiDimRedistributeOptimizationTest")</f>
        <v>MultiDimRedistributeOptimizationTest</v>
      </c>
      <c r="B414" s="1" t="s">
        <v>1913</v>
      </c>
      <c r="C414" s="1" t="s">
        <v>1920</v>
      </c>
      <c r="D414" s="1" t="s">
        <v>1846</v>
      </c>
      <c r="E414" s="136" t="b">
        <v>1</v>
      </c>
      <c r="F414" s="1"/>
    </row>
    <row r="415">
      <c r="A415" s="135" t="str">
        <f>HYPERLINK("https://github.com/pytorch/pytorch/blob/f99ab991dcd3719ee25dd3377a53ea12e518308e/test/distributed/tensor/test_redistribute.py#L2675", "FlattenedReductionIntegrationTest")</f>
        <v>FlattenedReductionIntegrationTest</v>
      </c>
      <c r="B415" s="1" t="s">
        <v>1913</v>
      </c>
      <c r="C415" s="1" t="s">
        <v>1921</v>
      </c>
      <c r="D415" s="1" t="s">
        <v>1846</v>
      </c>
      <c r="E415" s="136" t="b">
        <v>1</v>
      </c>
      <c r="F415" s="1"/>
    </row>
    <row r="416">
      <c r="A416" s="135" t="str">
        <f>HYPERLINK("https://github.com/pytorch/pytorch/blob/f99ab991dcd3719ee25dd3377a53ea12e518308e/test/distributed/tensor/test_redistribute.py#L2782", "UnevenFlattenedReduceScatterTest")</f>
        <v>UnevenFlattenedReduceScatterTest</v>
      </c>
      <c r="B416" s="1" t="s">
        <v>1913</v>
      </c>
      <c r="C416" s="1" t="s">
        <v>1922</v>
      </c>
      <c r="D416" s="1" t="s">
        <v>1846</v>
      </c>
      <c r="E416" s="136" t="b">
        <v>1</v>
      </c>
      <c r="F416" s="1"/>
    </row>
    <row r="417">
      <c r="A417" s="120" t="str">
        <f>HYPERLINK("https://github.com/pytorch/pytorch/blob/f99ab991dcd3719ee25dd3377a53ea12e518308e/test/distributed/tensor/test_single_dim_strategy.py#L83", "TestExpandPlaceholder")</f>
        <v>TestExpandPlaceholder</v>
      </c>
      <c r="B417" s="25" t="s">
        <v>1923</v>
      </c>
      <c r="C417" s="25" t="s">
        <v>1924</v>
      </c>
      <c r="D417" s="25" t="s">
        <v>1893</v>
      </c>
      <c r="E417" s="121" t="b">
        <f>IF(E407=TRUE,TRUE,FALSE)</f>
        <v>1</v>
      </c>
      <c r="F417" s="133"/>
    </row>
    <row r="418">
      <c r="A418" s="117" t="str">
        <f>HYPERLINK("https://github.com/pytorch/pytorch/blob/f99ab991dcd3719ee25dd3377a53ea12e518308e/test/distributed/tensor/test_single_dim_strategy.py#L1031", "TestSingleDimStrategyRegistration")</f>
        <v>TestSingleDimStrategyRegistration</v>
      </c>
      <c r="B418" s="30" t="s">
        <v>1923</v>
      </c>
      <c r="C418" s="30" t="s">
        <v>1925</v>
      </c>
      <c r="D418" s="30" t="s">
        <v>1893</v>
      </c>
      <c r="E418" s="118" t="b">
        <f>IF(E407=TRUE,TRUE,FALSE)</f>
        <v>1</v>
      </c>
      <c r="F418" s="134"/>
    </row>
    <row r="419">
      <c r="A419" s="120" t="str">
        <f>HYPERLINK("https://github.com/pytorch/pytorch/blob/f99ab991dcd3719ee25dd3377a53ea12e518308e/test/distributed/tensor/test_tensor_ops.py#L32", "DistTensorOpsTest")</f>
        <v>DistTensorOpsTest</v>
      </c>
      <c r="B419" s="25" t="s">
        <v>1926</v>
      </c>
      <c r="C419" s="25" t="s">
        <v>1927</v>
      </c>
      <c r="D419" s="25" t="s">
        <v>1543</v>
      </c>
      <c r="E419" s="121" t="b">
        <f>IF(E407=TRUE,TRUE,FALSE)</f>
        <v>1</v>
      </c>
      <c r="F419" s="133"/>
    </row>
    <row r="420">
      <c r="A420" s="117" t="str">
        <f>HYPERLINK("https://github.com/pytorch/pytorch/blob/f99ab991dcd3719ee25dd3377a53ea12e518308e/test/distributed/tensor/test_tensor_ops.py#L1045", "DistArgMaxArgMinTest")</f>
        <v>DistArgMaxArgMinTest</v>
      </c>
      <c r="B420" s="30" t="s">
        <v>1926</v>
      </c>
      <c r="C420" s="30" t="s">
        <v>1928</v>
      </c>
      <c r="D420" s="30" t="s">
        <v>1543</v>
      </c>
      <c r="E420" s="118" t="b">
        <f>IF(E407=TRUE,TRUE,FALSE)</f>
        <v>1</v>
      </c>
      <c r="F420" s="134"/>
    </row>
    <row r="421">
      <c r="A421" s="135" t="str">
        <f>HYPERLINK("https://github.com/pytorch/pytorch/blob/f99ab991dcd3719ee25dd3377a53ea12e518308e/test/distributed/tensor/test_tensor_ops.py#L994", "DistBucketizeTest")</f>
        <v>DistBucketizeTest</v>
      </c>
      <c r="B421" s="1" t="s">
        <v>1926</v>
      </c>
      <c r="C421" s="1" t="s">
        <v>1929</v>
      </c>
      <c r="D421" s="1" t="s">
        <v>1846</v>
      </c>
      <c r="E421" s="136" t="b">
        <v>1</v>
      </c>
      <c r="F421" s="1"/>
    </row>
    <row r="422">
      <c r="A422" s="120" t="str">
        <f>HYPERLINK("https://github.com/pytorch/pytorch/blob/f99ab991dcd3719ee25dd3377a53ea12e518308e/test/distributed/tensor/test_utils.py#L65", "LocalTest")</f>
        <v>LocalTest</v>
      </c>
      <c r="B422" s="25" t="s">
        <v>1930</v>
      </c>
      <c r="C422" s="25" t="s">
        <v>1931</v>
      </c>
      <c r="D422" s="25" t="s">
        <v>64</v>
      </c>
      <c r="E422" s="121" t="b">
        <f>IF(E407=TRUE,TRUE,FALSE)</f>
        <v>1</v>
      </c>
      <c r="F422" s="133"/>
    </row>
    <row r="423">
      <c r="A423" s="117" t="str">
        <f>HYPERLINK("https://github.com/pytorch/pytorch/blob/f99ab991dcd3719ee25dd3377a53ea12e518308e/test/distributed/tensor/test_utils.py#L312", "UtilTest")</f>
        <v>UtilTest</v>
      </c>
      <c r="B423" s="30" t="s">
        <v>1930</v>
      </c>
      <c r="C423" s="30" t="s">
        <v>1932</v>
      </c>
      <c r="D423" s="30" t="s">
        <v>1543</v>
      </c>
      <c r="E423" s="118" t="b">
        <f>IF(E407=TRUE,TRUE,FALSE)</f>
        <v>1</v>
      </c>
      <c r="F423" s="134"/>
    </row>
    <row r="424">
      <c r="A424" s="120" t="str">
        <f>HYPERLINK("https://github.com/pytorch/pytorch/blob/f99ab991dcd3719ee25dd3377a53ea12e518308e/test/distributed/tensor/test_utils.py#L632", "UtilSingleDeviceTest")</f>
        <v>UtilSingleDeviceTest</v>
      </c>
      <c r="B424" s="25" t="s">
        <v>1930</v>
      </c>
      <c r="C424" s="25" t="s">
        <v>1933</v>
      </c>
      <c r="D424" s="25" t="s">
        <v>64</v>
      </c>
      <c r="E424" s="121" t="b">
        <f>IF(E407=TRUE,TRUE,FALSE)</f>
        <v>1</v>
      </c>
      <c r="F424" s="133"/>
    </row>
    <row r="425">
      <c r="A425" s="117" t="str">
        <f>HYPERLINK("https://github.com/pytorch/pytorch/blob/f99ab991dcd3719ee25dd3377a53ea12e518308e/test/distributed/tensor/test_utils.py#L731", "TestStridedSharding")</f>
        <v>TestStridedSharding</v>
      </c>
      <c r="B425" s="30" t="s">
        <v>1930</v>
      </c>
      <c r="C425" s="30" t="s">
        <v>1934</v>
      </c>
      <c r="D425" s="30" t="s">
        <v>1543</v>
      </c>
      <c r="E425" s="118" t="b">
        <f>IF(E407=TRUE,TRUE,FALSE)</f>
        <v>1</v>
      </c>
      <c r="F425" s="134"/>
    </row>
    <row r="426">
      <c r="A426" s="120" t="str">
        <f>HYPERLINK("https://github.com/pytorch/pytorch/blob/f99ab991dcd3719ee25dd3377a53ea12e518308e/test/distributed/tensor/test_utils.py#L1012", "Test_StridedShard_Propagation")</f>
        <v>Test_StridedShard_Propagation</v>
      </c>
      <c r="B426" s="25" t="s">
        <v>1930</v>
      </c>
      <c r="C426" s="25" t="s">
        <v>1935</v>
      </c>
      <c r="D426" s="25" t="s">
        <v>1543</v>
      </c>
      <c r="E426" s="121" t="b">
        <f>IF(E407=TRUE,TRUE,FALSE)</f>
        <v>1</v>
      </c>
      <c r="F426" s="133"/>
    </row>
    <row r="427">
      <c r="A427" s="117" t="str">
        <f>HYPERLINK("https://github.com/pytorch/pytorch/blob/f99ab991dcd3719ee25dd3377a53ea12e518308e/test/distributed/tensor/test_utils.py#L1190", "Test_StridedShard_Optimizer")</f>
        <v>Test_StridedShard_Optimizer</v>
      </c>
      <c r="B427" s="30" t="s">
        <v>1930</v>
      </c>
      <c r="C427" s="30" t="s">
        <v>1936</v>
      </c>
      <c r="D427" s="30" t="s">
        <v>1543</v>
      </c>
      <c r="E427" s="118" t="b">
        <f>IF(E407=TRUE,TRUE,FALSE)</f>
        <v>1</v>
      </c>
      <c r="F427" s="134"/>
    </row>
    <row r="428">
      <c r="A428" s="120" t="str">
        <f>HYPERLINK("https://github.com/pytorch/pytorch/blob/f99ab991dcd3719ee25dd3377a53ea12e518308e/test/distributed/tensor/test_utils.py#L1347", "Test_StridedShard_with_shard_order")</f>
        <v>Test_StridedShard_with_shard_order</v>
      </c>
      <c r="B428" s="25" t="s">
        <v>1930</v>
      </c>
      <c r="C428" s="25" t="s">
        <v>1937</v>
      </c>
      <c r="D428" s="25" t="s">
        <v>1543</v>
      </c>
      <c r="E428" s="121" t="b">
        <f>IF(E407=TRUE,TRUE,FALSE)</f>
        <v>1</v>
      </c>
      <c r="F428" s="133"/>
    </row>
    <row r="429">
      <c r="A429" s="117" t="str">
        <f>HYPERLINK("https://github.com/pytorch/pytorch/blob/f99ab991dcd3719ee25dd3377a53ea12e518308e/test/distributed/tensor/test_utils.py#L1404", "Test2DStridedLocalShard")</f>
        <v>Test2DStridedLocalShard</v>
      </c>
      <c r="B429" s="30" t="s">
        <v>1930</v>
      </c>
      <c r="C429" s="30" t="s">
        <v>1938</v>
      </c>
      <c r="D429" s="30" t="s">
        <v>1543</v>
      </c>
      <c r="E429" s="118" t="b">
        <f>IF(E407=TRUE,TRUE,FALSE)</f>
        <v>1</v>
      </c>
      <c r="F429" s="134"/>
    </row>
    <row r="430">
      <c r="A430" s="120" t="str">
        <f>HYPERLINK("https://github.com/pytorch/pytorch/blob/f99ab991dcd3719ee25dd3377a53ea12e518308e/test/distributed/tensor/test_utils.py#L1494", "LocalTensorTestBase")</f>
        <v>LocalTensorTestBase</v>
      </c>
      <c r="B430" s="25" t="s">
        <v>1930</v>
      </c>
      <c r="C430" s="25" t="s">
        <v>1939</v>
      </c>
      <c r="D430" s="25" t="s">
        <v>1893</v>
      </c>
      <c r="E430" s="121" t="b">
        <f>IF(E407=TRUE,TRUE,FALSE)</f>
        <v>1</v>
      </c>
      <c r="F430" s="133"/>
    </row>
    <row r="431">
      <c r="A431" s="117" t="str">
        <f>HYPERLINK("https://github.com/pytorch/pytorch/blob/f99ab991dcd3719ee25dd3377a53ea12e518308e/test/distributed/tensor/test_utils.py#L1623", "TestStridedShardReplicate")</f>
        <v>TestStridedShardReplicate</v>
      </c>
      <c r="B431" s="30" t="s">
        <v>1930</v>
      </c>
      <c r="C431" s="30" t="s">
        <v>1940</v>
      </c>
      <c r="D431" s="30" t="s">
        <v>1543</v>
      </c>
      <c r="E431" s="118" t="b">
        <f>IF(E407=TRUE,TRUE,FALSE)</f>
        <v>1</v>
      </c>
      <c r="F431" s="134"/>
    </row>
    <row r="432">
      <c r="A432" s="120" t="str">
        <f>HYPERLINK("https://github.com/pytorch/pytorch/blob/f99ab991dcd3719ee25dd3377a53ea12e518308e/test/distributed/tensor/test_utils.py#L1674", "TestExplicitRedistribute")</f>
        <v>TestExplicitRedistribute</v>
      </c>
      <c r="B432" s="25" t="s">
        <v>1930</v>
      </c>
      <c r="C432" s="25" t="s">
        <v>1941</v>
      </c>
      <c r="D432" s="25" t="s">
        <v>1893</v>
      </c>
      <c r="E432" s="121" t="b">
        <f>IF(E407=TRUE,TRUE,FALSE)</f>
        <v>1</v>
      </c>
      <c r="F432" s="133"/>
    </row>
    <row r="433">
      <c r="A433" s="117" t="str">
        <f>HYPERLINK("https://github.com/pytorch/pytorch/blob/f99ab991dcd3719ee25dd3377a53ea12e518308e/test/distributed/tensor/test_utils.py#L1768", "TestIsTensorShardable")</f>
        <v>TestIsTensorShardable</v>
      </c>
      <c r="B433" s="30" t="s">
        <v>1930</v>
      </c>
      <c r="C433" s="30" t="s">
        <v>1942</v>
      </c>
      <c r="D433" s="30" t="s">
        <v>1893</v>
      </c>
      <c r="E433" s="118" t="b">
        <f>IF(E407=TRUE,TRUE,FALSE)</f>
        <v>1</v>
      </c>
      <c r="F433" s="134"/>
    </row>
    <row r="434">
      <c r="A434" s="135" t="str">
        <f>HYPERLINK("https://github.com/pytorch/pytorch/blob/f99ab991dcd3719ee25dd3377a53ea12e518308e/test/distributed/tensor/test_utils.py#L1540", "TestStridedShardCollectiveOpUtils")</f>
        <v>TestStridedShardCollectiveOpUtils</v>
      </c>
      <c r="B434" s="1" t="s">
        <v>1930</v>
      </c>
      <c r="C434" s="1" t="s">
        <v>1943</v>
      </c>
      <c r="D434" s="1" t="s">
        <v>1846</v>
      </c>
      <c r="E434" s="136" t="b">
        <v>1</v>
      </c>
      <c r="F434" s="1"/>
    </row>
    <row r="435">
      <c r="A435" s="120" t="str">
        <f>HYPERLINK("https://github.com/pytorch/pytorch/blob/f99ab991dcd3719ee25dd3377a53ea12e518308e/test/distributed/tensor/test_view_ops.py#L40", "TestViewOps")</f>
        <v>TestViewOps</v>
      </c>
      <c r="B435" s="25" t="s">
        <v>1944</v>
      </c>
      <c r="C435" s="25" t="s">
        <v>1945</v>
      </c>
      <c r="D435" s="25" t="s">
        <v>1543</v>
      </c>
      <c r="E435" s="121" t="b">
        <f>IF(E407=TRUE,TRUE,FALSE)</f>
        <v>1</v>
      </c>
      <c r="F435" s="133"/>
    </row>
    <row r="436">
      <c r="A436" s="117" t="str">
        <f>HYPERLINK("https://github.com/pytorch/pytorch/blob/f99ab991dcd3719ee25dd3377a53ea12e518308e/test/distributed/tensor/test_xla_integration.py#L47", "DTensorXLAIntegrationTest")</f>
        <v>DTensorXLAIntegrationTest</v>
      </c>
      <c r="B436" s="30" t="s">
        <v>1946</v>
      </c>
      <c r="C436" s="30" t="s">
        <v>1947</v>
      </c>
      <c r="D436" s="30" t="s">
        <v>1948</v>
      </c>
      <c r="E436" s="118" t="b">
        <f>IF(E407=TRUE,TRUE,FALSE)</f>
        <v>1</v>
      </c>
      <c r="F436" s="134"/>
    </row>
    <row r="437">
      <c r="A437" s="112" t="s">
        <v>1949</v>
      </c>
      <c r="B437" s="113"/>
      <c r="C437" s="113"/>
      <c r="D437" s="114"/>
      <c r="E437" s="115" t="b">
        <v>1</v>
      </c>
      <c r="F437" s="116"/>
    </row>
    <row r="438">
      <c r="A438" s="120" t="str">
        <f>HYPERLINK("https://github.com/pytorch/pytorch/blob/f99ab991dcd3719ee25dd3377a53ea12e518308e/test/distributed/tensor/debug/test_comm_mode.py#L22", "TestCommMode")</f>
        <v>TestCommMode</v>
      </c>
      <c r="B438" s="25" t="s">
        <v>1950</v>
      </c>
      <c r="C438" s="25" t="s">
        <v>1951</v>
      </c>
      <c r="D438" s="25" t="s">
        <v>1952</v>
      </c>
      <c r="E438" s="121" t="b">
        <f>IF(E437=TRUE,TRUE,FALSE)</f>
        <v>1</v>
      </c>
      <c r="F438" s="133"/>
    </row>
    <row r="439">
      <c r="A439" s="117" t="str">
        <f>HYPERLINK("https://github.com/pytorch/pytorch/blob/f99ab991dcd3719ee25dd3377a53ea12e518308e/test/distributed/tensor/debug/test_comm_mode_features.py#L30", "TestCommModeFeatures")</f>
        <v>TestCommModeFeatures</v>
      </c>
      <c r="B439" s="30" t="s">
        <v>1953</v>
      </c>
      <c r="C439" s="30" t="s">
        <v>1954</v>
      </c>
      <c r="D439" s="30" t="s">
        <v>1543</v>
      </c>
      <c r="E439" s="118" t="b">
        <f>IF(E437=TRUE,TRUE,FALSE)</f>
        <v>1</v>
      </c>
      <c r="F439" s="134"/>
    </row>
    <row r="440">
      <c r="A440" s="120" t="str">
        <f>HYPERLINK("https://github.com/pytorch/pytorch/blob/f99ab991dcd3719ee25dd3377a53ea12e518308e/test/distributed/tensor/debug/test_debug_mode.py#L49", "TestDTensorDebugMode")</f>
        <v>TestDTensorDebugMode</v>
      </c>
      <c r="B440" s="25" t="s">
        <v>1955</v>
      </c>
      <c r="C440" s="25" t="s">
        <v>1956</v>
      </c>
      <c r="D440" s="25" t="s">
        <v>1853</v>
      </c>
      <c r="E440" s="121" t="b">
        <f>IF(E437=TRUE,TRUE,FALSE)</f>
        <v>1</v>
      </c>
      <c r="F440" s="133"/>
    </row>
    <row r="441">
      <c r="A441" s="117" t="str">
        <f>HYPERLINK("https://github.com/pytorch/pytorch/blob/f99ab991dcd3719ee25dd3377a53ea12e518308e/test/distributed/tensor/debug/test_debug_mode.py#L1123", "TestDebugModeUtils")</f>
        <v>TestDebugModeUtils</v>
      </c>
      <c r="B441" s="30" t="s">
        <v>1955</v>
      </c>
      <c r="C441" s="30" t="s">
        <v>1957</v>
      </c>
      <c r="D441" s="30" t="s">
        <v>64</v>
      </c>
      <c r="E441" s="118" t="b">
        <f>IF(E437=TRUE,TRUE,FALSE)</f>
        <v>1</v>
      </c>
      <c r="F441" s="134"/>
    </row>
    <row r="442">
      <c r="A442" s="120" t="str">
        <f>HYPERLINK("https://github.com/pytorch/pytorch/blob/f99ab991dcd3719ee25dd3377a53ea12e518308e/test/distributed/tensor/debug/test_debug_mode.py#L1135", "TestDTensorDebugModeNCCLBackend")</f>
        <v>TestDTensorDebugModeNCCLBackend</v>
      </c>
      <c r="B442" s="25" t="s">
        <v>1955</v>
      </c>
      <c r="C442" s="25" t="s">
        <v>1958</v>
      </c>
      <c r="D442" s="25" t="s">
        <v>1356</v>
      </c>
      <c r="E442" s="121" t="b">
        <f>IF(E437=TRUE,TRUE,FALSE)</f>
        <v>1</v>
      </c>
      <c r="F442" s="133"/>
    </row>
    <row r="443">
      <c r="A443" s="117" t="str">
        <f>HYPERLINK("https://github.com/pytorch/pytorch/blob/f99ab991dcd3719ee25dd3377a53ea12e518308e/test/distributed/tensor/debug/test_op_coverage.py#L20", "TestOpCoverage")</f>
        <v>TestOpCoverage</v>
      </c>
      <c r="B443" s="30" t="s">
        <v>1959</v>
      </c>
      <c r="C443" s="30" t="s">
        <v>1960</v>
      </c>
      <c r="D443" s="30" t="s">
        <v>64</v>
      </c>
      <c r="E443" s="118" t="b">
        <f>IF(E437=TRUE,TRUE,FALSE)</f>
        <v>1</v>
      </c>
      <c r="F443" s="134"/>
    </row>
    <row r="444">
      <c r="A444" s="120" t="str">
        <f>HYPERLINK("https://github.com/pytorch/pytorch/blob/f99ab991dcd3719ee25dd3377a53ea12e518308e/test/distributed/tensor/experimental/test_local_map.py#L65", "TestLocalMap")</f>
        <v>TestLocalMap</v>
      </c>
      <c r="B444" s="25" t="s">
        <v>1961</v>
      </c>
      <c r="C444" s="25" t="s">
        <v>1962</v>
      </c>
      <c r="D444" s="25" t="s">
        <v>1543</v>
      </c>
      <c r="E444" s="121" t="b">
        <f>IF(E437=TRUE,TRUE,FALSE)</f>
        <v>1</v>
      </c>
      <c r="F444" s="133"/>
    </row>
    <row r="445">
      <c r="A445" s="117" t="str">
        <f>HYPERLINK("https://github.com/pytorch/pytorch/blob/f99ab991dcd3719ee25dd3377a53ea12e518308e/test/distributed/tensor/experimental/test_register_sharding.py#L19", "TestRegisterSharding")</f>
        <v>TestRegisterSharding</v>
      </c>
      <c r="B445" s="30" t="s">
        <v>1963</v>
      </c>
      <c r="C445" s="30" t="s">
        <v>1964</v>
      </c>
      <c r="D445" s="30" t="s">
        <v>1543</v>
      </c>
      <c r="E445" s="118" t="b">
        <f>IF(E437=TRUE,TRUE,FALSE)</f>
        <v>1</v>
      </c>
      <c r="F445" s="134"/>
    </row>
    <row r="446">
      <c r="A446" s="120" t="str">
        <f>HYPERLINK("https://github.com/pytorch/pytorch/blob/f99ab991dcd3719ee25dd3377a53ea12e518308e/test/distributed/tensor/experimental/test_tp_transform.py#L54", "TensorParallelTest")</f>
        <v>TensorParallelTest</v>
      </c>
      <c r="B446" s="25" t="s">
        <v>1965</v>
      </c>
      <c r="C446" s="25" t="s">
        <v>1966</v>
      </c>
      <c r="D446" s="25" t="s">
        <v>1543</v>
      </c>
      <c r="E446" s="121" t="b">
        <f>IF(E437=TRUE,TRUE,FALSE)</f>
        <v>1</v>
      </c>
      <c r="F446" s="133"/>
    </row>
    <row r="447">
      <c r="A447" s="135" t="str">
        <f>HYPERLINK("https://github.com/pytorch/pytorch/blob/f99ab991dcd3719ee25dd3377a53ea12e518308e/test/distributed/tensor/test_dtensor_logging.py#L15", "TestDTensorLogging")</f>
        <v>TestDTensorLogging</v>
      </c>
      <c r="B447" s="1" t="s">
        <v>1967</v>
      </c>
      <c r="C447" s="1" t="s">
        <v>1968</v>
      </c>
      <c r="D447" s="1" t="s">
        <v>1846</v>
      </c>
      <c r="E447" s="136" t="b">
        <v>1</v>
      </c>
      <c r="F447" s="1"/>
    </row>
    <row r="448">
      <c r="A448" s="112" t="s">
        <v>1969</v>
      </c>
      <c r="B448" s="113"/>
      <c r="C448" s="113"/>
      <c r="D448" s="114"/>
      <c r="E448" s="115" t="b">
        <v>1</v>
      </c>
      <c r="F448" s="116"/>
    </row>
    <row r="449">
      <c r="A449" s="117" t="str">
        <f>HYPERLINK("https://github.com/pytorch/pytorch/blob/f99ab991dcd3719ee25dd3377a53ea12e518308e/test/distributed/tensor/parallel/test_micro_pipeline_tp.py#L64", "MicroPipelineTPTest")</f>
        <v>MicroPipelineTPTest</v>
      </c>
      <c r="B449" s="30" t="s">
        <v>1970</v>
      </c>
      <c r="C449" s="30" t="s">
        <v>1971</v>
      </c>
      <c r="D449" s="30" t="s">
        <v>1972</v>
      </c>
      <c r="E449" s="118" t="b">
        <f>IF(E448=TRUE,TRUE,FALSE)</f>
        <v>1</v>
      </c>
      <c r="F449" s="134"/>
    </row>
    <row r="450">
      <c r="A450" s="120" t="str">
        <f>HYPERLINK("https://github.com/pytorch/pytorch/blob/f99ab991dcd3719ee25dd3377a53ea12e518308e/test/distributed/tensor/parallel/test_micro_pipeline_tp.py#L506", "MicroPipelineTP4GPUTest")</f>
        <v>MicroPipelineTP4GPUTest</v>
      </c>
      <c r="B450" s="25" t="s">
        <v>1970</v>
      </c>
      <c r="C450" s="25" t="s">
        <v>1973</v>
      </c>
      <c r="D450" s="25" t="s">
        <v>1972</v>
      </c>
      <c r="E450" s="121" t="b">
        <f>IF(E448=TRUE,TRUE,FALSE)</f>
        <v>1</v>
      </c>
      <c r="F450" s="133"/>
    </row>
    <row r="451">
      <c r="A451" s="117" t="str">
        <f>HYPERLINK("https://github.com/pytorch/pytorch/blob/f99ab991dcd3719ee25dd3377a53ea12e518308e/test/distributed/tensor/parallel/test_parallelize_api.py#L35", "TensorParallelAPITests")</f>
        <v>TensorParallelAPITests</v>
      </c>
      <c r="B451" s="30" t="s">
        <v>1974</v>
      </c>
      <c r="C451" s="30" t="s">
        <v>1975</v>
      </c>
      <c r="D451" s="30" t="s">
        <v>1543</v>
      </c>
      <c r="E451" s="118" t="b">
        <f>IF(E448=TRUE,TRUE,FALSE)</f>
        <v>1</v>
      </c>
      <c r="F451" s="134"/>
    </row>
    <row r="452">
      <c r="A452" s="120" t="str">
        <f>HYPERLINK("https://github.com/pytorch/pytorch/blob/f99ab991dcd3719ee25dd3377a53ea12e518308e/test/distributed/tensor/parallel/test_tp_examples.py#L63", "DistTensorParallelExampleTest")</f>
        <v>DistTensorParallelExampleTest</v>
      </c>
      <c r="B452" s="25" t="s">
        <v>1976</v>
      </c>
      <c r="C452" s="25" t="s">
        <v>1977</v>
      </c>
      <c r="D452" s="25" t="s">
        <v>1543</v>
      </c>
      <c r="E452" s="121" t="b">
        <f>IF(E448=TRUE,TRUE,FALSE)</f>
        <v>1</v>
      </c>
      <c r="F452" s="133"/>
    </row>
    <row r="453">
      <c r="A453" s="117" t="str">
        <f>HYPERLINK("https://github.com/pytorch/pytorch/blob/f99ab991dcd3719ee25dd3377a53ea12e518308e/test/distributed/tensor/parallel/test_tp_random_state.py#L20", "TensorParallelRandomStateTests")</f>
        <v>TensorParallelRandomStateTests</v>
      </c>
      <c r="B453" s="30" t="s">
        <v>1978</v>
      </c>
      <c r="C453" s="30" t="s">
        <v>1979</v>
      </c>
      <c r="D453" s="30" t="s">
        <v>1543</v>
      </c>
      <c r="E453" s="118" t="b">
        <f>IF(E448=TRUE,TRUE,FALSE)</f>
        <v>1</v>
      </c>
      <c r="F453" s="134"/>
    </row>
    <row r="454">
      <c r="A454" s="120" t="str">
        <f>HYPERLINK("https://github.com/pytorch/pytorch/blob/f99ab991dcd3719ee25dd3377a53ea12e518308e/test/distributed/tensor/parallel/test_tp_style.py#L33", "TensorParallelStyleTest")</f>
        <v>TensorParallelStyleTest</v>
      </c>
      <c r="B454" s="25" t="s">
        <v>1980</v>
      </c>
      <c r="C454" s="25" t="s">
        <v>1981</v>
      </c>
      <c r="D454" s="25" t="s">
        <v>1543</v>
      </c>
      <c r="E454" s="121" t="b">
        <f>IF(E448=TRUE,TRUE,FALSE)</f>
        <v>1</v>
      </c>
      <c r="F454" s="133"/>
    </row>
    <row r="455">
      <c r="A455" s="107" t="s">
        <v>1982</v>
      </c>
      <c r="B455" s="108"/>
      <c r="C455" s="108"/>
      <c r="D455" s="109"/>
      <c r="E455" s="110" t="b">
        <v>1</v>
      </c>
      <c r="F455" s="111"/>
    </row>
    <row r="456">
      <c r="A456" s="112" t="s">
        <v>1983</v>
      </c>
      <c r="B456" s="113"/>
      <c r="C456" s="113"/>
      <c r="D456" s="114"/>
      <c r="E456" s="115" t="b">
        <v>1</v>
      </c>
      <c r="F456" s="116"/>
    </row>
    <row r="457">
      <c r="A457" s="133" t="s">
        <v>1984</v>
      </c>
      <c r="B457" s="25" t="s">
        <v>1985</v>
      </c>
      <c r="C457" s="25" t="s">
        <v>1986</v>
      </c>
      <c r="D457" s="25" t="s">
        <v>64</v>
      </c>
      <c r="E457" s="121" t="b">
        <f>IF(E456=TRUE,TRUE,FALSE)</f>
        <v>1</v>
      </c>
      <c r="F457" s="133"/>
    </row>
    <row r="458">
      <c r="A458" s="134" t="s">
        <v>1987</v>
      </c>
      <c r="B458" s="30" t="s">
        <v>1985</v>
      </c>
      <c r="C458" s="30" t="s">
        <v>1988</v>
      </c>
      <c r="D458" s="30" t="s">
        <v>64</v>
      </c>
      <c r="E458" s="118" t="b">
        <f>IF(E456=TRUE,TRUE,FALSE)</f>
        <v>1</v>
      </c>
      <c r="F458" s="134"/>
    </row>
    <row r="459">
      <c r="A459" s="133" t="s">
        <v>1989</v>
      </c>
      <c r="B459" s="25" t="s">
        <v>1990</v>
      </c>
      <c r="C459" s="25" t="s">
        <v>1991</v>
      </c>
      <c r="D459" s="25" t="s">
        <v>1992</v>
      </c>
      <c r="E459" s="121" t="b">
        <f>IF(E456=TRUE,TRUE,FALSE)</f>
        <v>1</v>
      </c>
      <c r="F459" s="133"/>
    </row>
    <row r="460">
      <c r="A460" s="134" t="s">
        <v>1993</v>
      </c>
      <c r="B460" s="30" t="s">
        <v>1990</v>
      </c>
      <c r="C460" s="30" t="s">
        <v>1994</v>
      </c>
      <c r="D460" s="30" t="s">
        <v>1992</v>
      </c>
      <c r="E460" s="118" t="b">
        <f>IF(E456=TRUE,TRUE,FALSE)</f>
        <v>1</v>
      </c>
      <c r="F460" s="134"/>
    </row>
    <row r="461">
      <c r="A461" s="112" t="s">
        <v>1995</v>
      </c>
      <c r="B461" s="113"/>
      <c r="C461" s="113"/>
      <c r="D461" s="114"/>
      <c r="E461" s="115" t="b">
        <v>1</v>
      </c>
      <c r="F461" s="116"/>
    </row>
    <row r="462">
      <c r="A462" s="120" t="str">
        <f>HYPERLINK("https://github.com/pytorch/pytorch/blob/f99ab991dcd3719ee25dd3377a53ea12e518308e/test/distributed/checkpoint/test_fsspec.py#L187", "TestFileSystem")</f>
        <v>TestFileSystem</v>
      </c>
      <c r="B462" s="25" t="s">
        <v>1996</v>
      </c>
      <c r="C462" s="25" t="s">
        <v>1997</v>
      </c>
      <c r="D462" s="25" t="s">
        <v>64</v>
      </c>
      <c r="E462" s="121" t="b">
        <f>IF(E461=TRUE,TRUE,FALSE)</f>
        <v>1</v>
      </c>
      <c r="F462" s="133"/>
    </row>
    <row r="463">
      <c r="A463" s="134" t="s">
        <v>1998</v>
      </c>
      <c r="B463" s="30" t="s">
        <v>1999</v>
      </c>
      <c r="C463" s="30" t="s">
        <v>2000</v>
      </c>
      <c r="D463" s="30" t="s">
        <v>64</v>
      </c>
      <c r="E463" s="118" t="b">
        <f>IF(E461=TRUE,TRUE,FALSE)</f>
        <v>1</v>
      </c>
      <c r="F463" s="134"/>
    </row>
    <row r="464">
      <c r="A464" s="133" t="s">
        <v>2001</v>
      </c>
      <c r="B464" s="25" t="s">
        <v>2002</v>
      </c>
      <c r="C464" s="25" t="s">
        <v>2003</v>
      </c>
      <c r="D464" s="25" t="s">
        <v>64</v>
      </c>
      <c r="E464" s="121" t="b">
        <f>IF(E461=TRUE,TRUE,FALSE)</f>
        <v>1</v>
      </c>
      <c r="F464" s="133"/>
    </row>
    <row r="465">
      <c r="A465" s="134" t="s">
        <v>2004</v>
      </c>
      <c r="B465" s="30" t="s">
        <v>2005</v>
      </c>
      <c r="C465" s="30" t="s">
        <v>2006</v>
      </c>
      <c r="D465" s="30" t="s">
        <v>64</v>
      </c>
      <c r="E465" s="118" t="b">
        <f>IF(E461=TRUE,TRUE,FALSE)</f>
        <v>1</v>
      </c>
      <c r="F465" s="134"/>
    </row>
    <row r="466">
      <c r="A466" s="112" t="s">
        <v>2007</v>
      </c>
      <c r="B466" s="113"/>
      <c r="C466" s="113"/>
      <c r="D466" s="114"/>
      <c r="E466" s="115" t="b">
        <v>1</v>
      </c>
      <c r="F466" s="116"/>
    </row>
    <row r="467">
      <c r="A467" s="134" t="s">
        <v>2008</v>
      </c>
      <c r="B467" s="30" t="s">
        <v>2009</v>
      </c>
      <c r="C467" s="30" t="s">
        <v>2010</v>
      </c>
      <c r="D467" s="30" t="s">
        <v>64</v>
      </c>
      <c r="E467" s="118" t="b">
        <f>IF(E466=TRUE,TRUE,FALSE)</f>
        <v>1</v>
      </c>
      <c r="F467" s="134"/>
    </row>
    <row r="468">
      <c r="A468" s="120" t="str">
        <f>HYPERLINK("https://github.com/pytorch/pytorch/blob/f99ab991dcd3719ee25dd3377a53ea12e518308e/test/distributed/fsdp/test_fsdp_traversal.py#L29", "TestTraversal")</f>
        <v>TestTraversal</v>
      </c>
      <c r="B468" s="25" t="s">
        <v>2011</v>
      </c>
      <c r="C468" s="25" t="s">
        <v>2012</v>
      </c>
      <c r="D468" s="25" t="s">
        <v>64</v>
      </c>
      <c r="E468" s="121" t="b">
        <f>IF(E466=TRUE,TRUE,FALSE)</f>
        <v>1</v>
      </c>
      <c r="F468" s="133"/>
    </row>
    <row r="469">
      <c r="A469" s="151" t="s">
        <v>2013</v>
      </c>
      <c r="B469" s="152"/>
      <c r="C469" s="152"/>
      <c r="D469" s="153"/>
      <c r="E469" s="154" t="b">
        <v>1</v>
      </c>
      <c r="F469" s="155"/>
    </row>
    <row r="470">
      <c r="A470" s="156" t="str">
        <f>HYPERLINK("https://github.com/pytorch/pytorch/blob/f99ab991dcd3719ee25dd3377a53ea12e518308e/test/distributed/checkpoint/_experimental/test_checkpointer.py#L397", "TestAsyncCheckpointerSpecific")</f>
        <v>TestAsyncCheckpointerSpecific</v>
      </c>
      <c r="B470" s="36" t="s">
        <v>2014</v>
      </c>
      <c r="C470" s="36" t="s">
        <v>2015</v>
      </c>
      <c r="D470" s="36" t="s">
        <v>64</v>
      </c>
      <c r="E470" s="157" t="b">
        <f>IF(E469=TRUE,TRUE,FALSE)</f>
        <v>1</v>
      </c>
      <c r="F470" s="158"/>
    </row>
    <row r="471">
      <c r="A471" s="159" t="str">
        <f>HYPERLINK("https://github.com/pytorch/pytorch/blob/f99ab991dcd3719ee25dd3377a53ea12e518308e/test/distributed/checkpoint/_experimental/test_checkpointer.py#L51", "TestCheckpointer")</f>
        <v>TestCheckpointer</v>
      </c>
      <c r="B471" s="31" t="s">
        <v>2014</v>
      </c>
      <c r="C471" s="31" t="s">
        <v>2016</v>
      </c>
      <c r="D471" s="31" t="s">
        <v>64</v>
      </c>
      <c r="E471" s="160" t="b">
        <f>IF(E469=TRUE,TRUE,FALSE)</f>
        <v>1</v>
      </c>
      <c r="F471" s="161"/>
    </row>
    <row r="472">
      <c r="A472" s="156" t="str">
        <f>HYPERLINK("https://github.com/pytorch/pytorch/blob/f99ab991dcd3719ee25dd3377a53ea12e518308e/test/distributed/checkpoint/_experimental/test_checkpoint_process.py#L162", "TestCheckpointProcess")</f>
        <v>TestCheckpointProcess</v>
      </c>
      <c r="B472" s="36" t="s">
        <v>2017</v>
      </c>
      <c r="C472" s="36" t="s">
        <v>2018</v>
      </c>
      <c r="D472" s="36" t="s">
        <v>64</v>
      </c>
      <c r="E472" s="157" t="b">
        <f>IF(E469=TRUE,TRUE,FALSE)</f>
        <v>1</v>
      </c>
      <c r="F472" s="158"/>
    </row>
    <row r="473">
      <c r="A473" s="159" t="str">
        <f>HYPERLINK("https://github.com/pytorch/pytorch/blob/f99ab991dcd3719ee25dd3377a53ea12e518308e/test/distributed/checkpoint/_experimental/test_checkpoint_process.py#L143", "TestCheckpointProcessConfig")</f>
        <v>TestCheckpointProcessConfig</v>
      </c>
      <c r="B473" s="31" t="s">
        <v>2017</v>
      </c>
      <c r="C473" s="31" t="s">
        <v>2019</v>
      </c>
      <c r="D473" s="31" t="s">
        <v>64</v>
      </c>
      <c r="E473" s="160" t="b">
        <f>IF(E469=TRUE,TRUE,FALSE)</f>
        <v>1</v>
      </c>
      <c r="F473" s="161"/>
    </row>
    <row r="474">
      <c r="A474" s="156" t="str">
        <f>HYPERLINK("https://github.com/pytorch/pytorch/blob/f99ab991dcd3719ee25dd3377a53ea12e518308e/test/distributed/checkpoint/_experimental/test_checkpoint_process.py#L114", "TestRequestTypes")</f>
        <v>TestRequestTypes</v>
      </c>
      <c r="B474" s="36" t="s">
        <v>2017</v>
      </c>
      <c r="C474" s="36" t="s">
        <v>2020</v>
      </c>
      <c r="D474" s="36" t="s">
        <v>64</v>
      </c>
      <c r="E474" s="157" t="b">
        <f>IF(E469=TRUE,TRUE,FALSE)</f>
        <v>1</v>
      </c>
      <c r="F474" s="158"/>
    </row>
    <row r="475">
      <c r="A475" s="159" t="str">
        <f>HYPERLINK("https://github.com/pytorch/pytorch/blob/f99ab991dcd3719ee25dd3377a53ea12e518308e/test/distributed/checkpoint/_experimental/test_checkpoint_reader.py#L15", "TestCheckpointReader")</f>
        <v>TestCheckpointReader</v>
      </c>
      <c r="B475" s="31" t="s">
        <v>2021</v>
      </c>
      <c r="C475" s="31" t="s">
        <v>2022</v>
      </c>
      <c r="D475" s="31" t="s">
        <v>64</v>
      </c>
      <c r="E475" s="160" t="b">
        <f>IF(E469=TRUE,TRUE,FALSE)</f>
        <v>1</v>
      </c>
      <c r="F475" s="161"/>
    </row>
    <row r="476">
      <c r="A476" s="156" t="str">
        <f>HYPERLINK("https://github.com/pytorch/pytorch/blob/f99ab991dcd3719ee25dd3377a53ea12e518308e/test/distributed/checkpoint/_experimental/test_checkpoint_writer.py#L53", "TestCheckpointWriter")</f>
        <v>TestCheckpointWriter</v>
      </c>
      <c r="B476" s="36" t="s">
        <v>2023</v>
      </c>
      <c r="C476" s="36" t="s">
        <v>2024</v>
      </c>
      <c r="D476" s="36" t="s">
        <v>64</v>
      </c>
      <c r="E476" s="157" t="b">
        <f>IF(E469=TRUE,TRUE,FALSE)</f>
        <v>1</v>
      </c>
      <c r="F476" s="158"/>
    </row>
    <row r="477">
      <c r="A477" s="159" t="str">
        <f>HYPERLINK("https://github.com/pytorch/pytorch/blob/f99ab991dcd3719ee25dd3377a53ea12e518308e/test/distributed/checkpoint/_experimental/test_checkpoint_writer.py#L41", "TestCheckpointWriterConfig")</f>
        <v>TestCheckpointWriterConfig</v>
      </c>
      <c r="B477" s="31" t="s">
        <v>2023</v>
      </c>
      <c r="C477" s="31" t="s">
        <v>2025</v>
      </c>
      <c r="D477" s="31" t="s">
        <v>64</v>
      </c>
      <c r="E477" s="160" t="b">
        <f>IF(E469=TRUE,TRUE,FALSE)</f>
        <v>1</v>
      </c>
      <c r="F477" s="161"/>
    </row>
    <row r="478">
      <c r="A478" s="156" t="str">
        <f>HYPERLINK("https://github.com/pytorch/pytorch/blob/f99ab991dcd3719ee25dd3377a53ea12e518308e/test/distributed/checkpoint/_experimental/test_barriers.py#L10", "TestBarriers")</f>
        <v>TestBarriers</v>
      </c>
      <c r="B478" s="36" t="s">
        <v>2026</v>
      </c>
      <c r="C478" s="36" t="s">
        <v>2027</v>
      </c>
      <c r="D478" s="36" t="s">
        <v>64</v>
      </c>
      <c r="E478" s="157" t="b">
        <f>IF(E469=TRUE,TRUE,FALSE)</f>
        <v>1</v>
      </c>
      <c r="F478" s="158"/>
    </row>
    <row r="479">
      <c r="A479" s="159" t="str">
        <f>HYPERLINK("https://github.com/pytorch/pytorch/blob/f99ab991dcd3719ee25dd3377a53ea12e518308e/test/distributed/checkpoint/_experimental/test_types.py#L8", "TestRankInfo")</f>
        <v>TestRankInfo</v>
      </c>
      <c r="B479" s="31" t="s">
        <v>2028</v>
      </c>
      <c r="C479" s="31" t="s">
        <v>2029</v>
      </c>
      <c r="D479" s="31" t="s">
        <v>64</v>
      </c>
      <c r="E479" s="160" t="b">
        <f>IF(E469=TRUE,TRUE,FALSE)</f>
        <v>1</v>
      </c>
      <c r="F479" s="161"/>
    </row>
    <row r="480">
      <c r="A480" s="151" t="s">
        <v>2030</v>
      </c>
      <c r="B480" s="152"/>
      <c r="C480" s="152"/>
      <c r="D480" s="153"/>
      <c r="E480" s="154" t="b">
        <v>1</v>
      </c>
      <c r="F480" s="155"/>
    </row>
    <row r="481">
      <c r="A481" s="156" t="str">
        <f>HYPERLINK("https://github.com/pytorch/pytorch/blob/f99ab991dcd3719ee25dd3377a53ea12e518308e/test/distributed/checkpoint/test_async_process_executor.py#L110", "TestAsyncProcessExecutor")</f>
        <v>TestAsyncProcessExecutor</v>
      </c>
      <c r="B481" s="36" t="s">
        <v>2031</v>
      </c>
      <c r="C481" s="36" t="s">
        <v>2032</v>
      </c>
      <c r="D481" s="36" t="s">
        <v>1846</v>
      </c>
      <c r="E481" s="157" t="b">
        <f>IF(E480=TRUE,TRUE,FALSE)</f>
        <v>1</v>
      </c>
      <c r="F481" s="158"/>
    </row>
    <row r="482">
      <c r="A482" s="159" t="str">
        <f>HYPERLINK("https://github.com/pytorch/pytorch/blob/f99ab991dcd3719ee25dd3377a53ea12e518308e/test/distributed/checkpoint/test_async_process_executor.py#L171", "TestAsyncProcessExecutorPrefixStore")</f>
        <v>TestAsyncProcessExecutorPrefixStore</v>
      </c>
      <c r="B482" s="31" t="s">
        <v>2031</v>
      </c>
      <c r="C482" s="31" t="s">
        <v>2033</v>
      </c>
      <c r="D482" s="31" t="s">
        <v>2034</v>
      </c>
      <c r="E482" s="160" t="b">
        <f>IF(E480=TRUE,TRUE,FALSE)</f>
        <v>1</v>
      </c>
      <c r="F482" s="161"/>
    </row>
    <row r="483">
      <c r="A483" s="162" t="str">
        <f>HYPERLINK("https://github.com/pytorch/pytorch/blob/f99ab991dcd3719ee25dd3377a53ea12e518308e/test/distributed/checkpoint/test_pg_transport.py#L269", "TestCastTensor")</f>
        <v>TestCastTensor</v>
      </c>
      <c r="B483" s="92" t="s">
        <v>2035</v>
      </c>
      <c r="C483" s="92" t="s">
        <v>2036</v>
      </c>
      <c r="D483" s="92" t="s">
        <v>64</v>
      </c>
      <c r="E483" s="163" t="b">
        <v>0</v>
      </c>
      <c r="F483" s="164"/>
    </row>
    <row r="484">
      <c r="A484" s="162" t="str">
        <f>HYPERLINK("https://github.com/pytorch/pytorch/blob/f99ab991dcd3719ee25dd3377a53ea12e518308e/test/distributed/checkpoint/test_pg_transport.py#L574", "TestPGTransportEdgeCases")</f>
        <v>TestPGTransportEdgeCases</v>
      </c>
      <c r="B484" s="92" t="s">
        <v>2035</v>
      </c>
      <c r="C484" s="92" t="s">
        <v>2037</v>
      </c>
      <c r="D484" s="92" t="s">
        <v>2038</v>
      </c>
      <c r="E484" s="163" t="b">
        <v>0</v>
      </c>
      <c r="F484" s="164"/>
    </row>
    <row r="485">
      <c r="A485" s="162" t="str">
        <f>HYPERLINK("https://github.com/pytorch/pytorch/blob/f99ab991dcd3719ee25dd3377a53ea12e518308e/test/distributed/checkpoint/test_pg_transport.py#L416", "TestPGTransportMocked")</f>
        <v>TestPGTransportMocked</v>
      </c>
      <c r="B485" s="92" t="s">
        <v>2035</v>
      </c>
      <c r="C485" s="92" t="s">
        <v>2039</v>
      </c>
      <c r="D485" s="92" t="s">
        <v>64</v>
      </c>
      <c r="E485" s="163" t="b">
        <v>0</v>
      </c>
      <c r="F485" s="164"/>
    </row>
    <row r="486">
      <c r="A486" s="159" t="str">
        <f>HYPERLINK("https://github.com/pytorch/pytorch/blob/f99ab991dcd3719ee25dd3377a53ea12e518308e/test/distributed/checkpoint/test_dtensor_resharding.py#L432", "TestCheckpointableReshard")</f>
        <v>TestCheckpointableReshard</v>
      </c>
      <c r="B486" s="31" t="s">
        <v>2040</v>
      </c>
      <c r="C486" s="31" t="s">
        <v>2041</v>
      </c>
      <c r="D486" s="31" t="s">
        <v>2042</v>
      </c>
      <c r="E486" s="160" t="b">
        <f>IF(E480=TRUE,TRUE,FALSE)</f>
        <v>1</v>
      </c>
      <c r="F486" s="161"/>
    </row>
    <row r="487">
      <c r="A487" s="156" t="str">
        <f>HYPERLINK("https://github.com/pytorch/pytorch/blob/f99ab991dcd3719ee25dd3377a53ea12e518308e/test/distributed/checkpoint/test_dtensor_resharding.py#L177", "TestDTensorReshardMeshChange")</f>
        <v>TestDTensorReshardMeshChange</v>
      </c>
      <c r="B487" s="36" t="s">
        <v>2040</v>
      </c>
      <c r="C487" s="36" t="s">
        <v>2043</v>
      </c>
      <c r="D487" s="36" t="s">
        <v>2044</v>
      </c>
      <c r="E487" s="157" t="b">
        <f>IF(E480=TRUE,TRUE,FALSE)</f>
        <v>1</v>
      </c>
      <c r="F487" s="158"/>
    </row>
    <row r="488">
      <c r="A488" s="159" t="str">
        <f>HYPERLINK("https://github.com/pytorch/pytorch/blob/f99ab991dcd3719ee25dd3377a53ea12e518308e/test/distributed/checkpoint/test_dtensor_resharding.py#L67", "TestDTensorReshardPlacementChange")</f>
        <v>TestDTensorReshardPlacementChange</v>
      </c>
      <c r="B488" s="31" t="s">
        <v>2040</v>
      </c>
      <c r="C488" s="31" t="s">
        <v>2045</v>
      </c>
      <c r="D488" s="31" t="s">
        <v>2044</v>
      </c>
      <c r="E488" s="160" t="b">
        <f>IF(E480=TRUE,TRUE,FALSE)</f>
        <v>1</v>
      </c>
      <c r="F488" s="161"/>
    </row>
    <row r="489">
      <c r="A489" s="156" t="str">
        <f>HYPERLINK("https://github.com/pytorch/pytorch/blob/f99ab991dcd3719ee25dd3377a53ea12e518308e/test/distributed/checkpoint/test_compatibility.py#L19", "TestDCPCompatbility")</f>
        <v>TestDCPCompatbility</v>
      </c>
      <c r="B489" s="36" t="s">
        <v>2046</v>
      </c>
      <c r="C489" s="36" t="s">
        <v>2047</v>
      </c>
      <c r="D489" s="36" t="s">
        <v>64</v>
      </c>
      <c r="E489" s="157" t="b">
        <f>IF(E480=TRUE,TRUE,FALSE)</f>
        <v>1</v>
      </c>
      <c r="F489" s="158"/>
    </row>
    <row r="490">
      <c r="A490" s="159" t="str">
        <f>HYPERLINK("https://github.com/pytorch/pytorch/blob/f99ab991dcd3719ee25dd3377a53ea12e518308e/test/distributed/checkpoint/test_dedup_tensors.py#L35", "TestDedupTensor")</f>
        <v>TestDedupTensor</v>
      </c>
      <c r="B490" s="31" t="s">
        <v>2048</v>
      </c>
      <c r="C490" s="31" t="s">
        <v>2049</v>
      </c>
      <c r="D490" s="31" t="s">
        <v>64</v>
      </c>
      <c r="E490" s="160" t="b">
        <f>IF(E480=TRUE,TRUE,FALSE)</f>
        <v>1</v>
      </c>
      <c r="F490" s="161"/>
    </row>
    <row r="491">
      <c r="A491" s="156" t="str">
        <f>HYPERLINK("https://github.com/pytorch/pytorch/blob/f99ab991dcd3719ee25dd3377a53ea12e518308e/test/distributed/checkpoint/_experimental/test_staging.py#L13", "TestDefaultStager")</f>
        <v>TestDefaultStager</v>
      </c>
      <c r="B491" s="36" t="s">
        <v>2050</v>
      </c>
      <c r="C491" s="36" t="s">
        <v>2051</v>
      </c>
      <c r="D491" s="36" t="s">
        <v>2052</v>
      </c>
      <c r="E491" s="157" t="b">
        <f>IF(E480=TRUE,TRUE,FALSE)</f>
        <v>1</v>
      </c>
      <c r="F491" s="158"/>
    </row>
    <row r="492">
      <c r="A492" s="159" t="str">
        <f>HYPERLINK("https://github.com/pytorch/pytorch/blob/f99ab991dcd3719ee25dd3377a53ea12e518308e/test/distributed/checkpoint/test_state_dict_stager.py#L890", "TestReplicationStager")</f>
        <v>TestReplicationStager</v>
      </c>
      <c r="B492" s="31" t="s">
        <v>2050</v>
      </c>
      <c r="C492" s="31" t="s">
        <v>2053</v>
      </c>
      <c r="D492" s="31" t="s">
        <v>2042</v>
      </c>
      <c r="E492" s="160" t="b">
        <f>IF(E480=TRUE,TRUE,FALSE)</f>
        <v>1</v>
      </c>
      <c r="F492" s="161"/>
    </row>
    <row r="493">
      <c r="A493" s="156" t="str">
        <f>HYPERLINK("https://github.com/pytorch/pytorch/blob/f99ab991dcd3719ee25dd3377a53ea12e518308e/test/distributed/checkpoint/test_state_dict_stager.py#L211", "TestStateDictStager")</f>
        <v>TestStateDictStager</v>
      </c>
      <c r="B493" s="36" t="s">
        <v>2050</v>
      </c>
      <c r="C493" s="36" t="s">
        <v>2054</v>
      </c>
      <c r="D493" s="36" t="s">
        <v>2055</v>
      </c>
      <c r="E493" s="157" t="b">
        <f>IF(E480=TRUE,TRUE,FALSE)</f>
        <v>1</v>
      </c>
      <c r="F493" s="158"/>
    </row>
    <row r="494">
      <c r="A494" s="159" t="str">
        <f>HYPERLINK("https://github.com/pytorch/pytorch/blob/f99ab991dcd3719ee25dd3377a53ea12e518308e/test/distributed/checkpoint/test_state_dict_stager.py#L815", "TestDTensorStateDictStager")</f>
        <v>TestDTensorStateDictStager</v>
      </c>
      <c r="B494" s="31" t="s">
        <v>2050</v>
      </c>
      <c r="C494" s="31" t="s">
        <v>2056</v>
      </c>
      <c r="D494" s="31" t="s">
        <v>2057</v>
      </c>
      <c r="E494" s="160" t="b">
        <f>IF(E480=TRUE,TRUE,FALSE)</f>
        <v>1</v>
      </c>
      <c r="F494" s="161"/>
    </row>
    <row r="495">
      <c r="A495" s="156" t="str">
        <f>HYPERLINK("https://github.com/pytorch/pytorch/blob/f99ab991dcd3719ee25dd3377a53ea12e518308e/test/distributed/checkpoint/test_state_dict.py#L81", "TestStateDict")</f>
        <v>TestStateDict</v>
      </c>
      <c r="B495" s="36" t="s">
        <v>2058</v>
      </c>
      <c r="C495" s="36" t="s">
        <v>2059</v>
      </c>
      <c r="D495" s="36" t="s">
        <v>2044</v>
      </c>
      <c r="E495" s="157" t="b">
        <f>IF(E480=TRUE,TRUE,FALSE)</f>
        <v>1</v>
      </c>
      <c r="F495" s="158"/>
    </row>
    <row r="496">
      <c r="A496" s="159" t="str">
        <f>HYPERLINK("https://github.com/pytorch/pytorch/blob/f99ab991dcd3719ee25dd3377a53ea12e518308e/test/distributed/checkpoint/test_state_dict_utils.py#L32", "TestStateDictUtils")</f>
        <v>TestStateDictUtils</v>
      </c>
      <c r="B496" s="31" t="s">
        <v>2060</v>
      </c>
      <c r="C496" s="31" t="s">
        <v>2061</v>
      </c>
      <c r="D496" s="31" t="s">
        <v>2044</v>
      </c>
      <c r="E496" s="160" t="b">
        <f>IF(E480=TRUE,TRUE,FALSE)</f>
        <v>1</v>
      </c>
      <c r="F496" s="161"/>
    </row>
    <row r="497">
      <c r="A497" s="156" t="str">
        <f>HYPERLINK("https://github.com/pytorch/pytorch/blob/f99ab991dcd3719ee25dd3377a53ea12e518308e/test/distributed/checkpoint/test_utils.py#L143", "TestReaderView")</f>
        <v>TestReaderView</v>
      </c>
      <c r="B497" s="36" t="s">
        <v>2062</v>
      </c>
      <c r="C497" s="36" t="s">
        <v>2063</v>
      </c>
      <c r="D497" s="36" t="s">
        <v>64</v>
      </c>
      <c r="E497" s="157" t="b">
        <f>IF(E480=TRUE,TRUE,FALSE)</f>
        <v>1</v>
      </c>
      <c r="F497" s="158"/>
    </row>
    <row r="498">
      <c r="A498" s="159" t="str">
        <f>HYPERLINK("https://github.com/pytorch/pytorch/blob/f99ab991dcd3719ee25dd3377a53ea12e518308e/test/distributed/checkpoint/test_traverse.py#L15", "TestTraverse")</f>
        <v>TestTraverse</v>
      </c>
      <c r="B498" s="31" t="s">
        <v>2064</v>
      </c>
      <c r="C498" s="31" t="s">
        <v>2065</v>
      </c>
      <c r="D498" s="31" t="s">
        <v>64</v>
      </c>
      <c r="E498" s="160" t="b">
        <f>IF(E480=TRUE,TRUE,FALSE)</f>
        <v>1</v>
      </c>
      <c r="F498" s="161"/>
    </row>
    <row r="499">
      <c r="A499" s="156" t="str">
        <f>HYPERLINK("https://github.com/pytorch/pytorch/blob/f99ab991dcd3719ee25dd3377a53ea12e518308e/test/distributed/checkpoint/test_save_load_api.py#L31", "TestSaveAndLoadAPI")</f>
        <v>TestSaveAndLoadAPI</v>
      </c>
      <c r="B499" s="36" t="s">
        <v>2066</v>
      </c>
      <c r="C499" s="36" t="s">
        <v>2067</v>
      </c>
      <c r="D499" s="36" t="s">
        <v>2044</v>
      </c>
      <c r="E499" s="157" t="b">
        <f>IF(E480=TRUE,TRUE,FALSE)</f>
        <v>1</v>
      </c>
      <c r="F499" s="158"/>
    </row>
    <row r="500">
      <c r="A500" s="159" t="str">
        <f>HYPERLINK("https://github.com/pytorch/pytorch/blob/f99ab991dcd3719ee25dd3377a53ea12e518308e/test/distributed/checkpoint/test_planner.py#L98", "TestSavePlan")</f>
        <v>TestSavePlan</v>
      </c>
      <c r="B500" s="31" t="s">
        <v>2009</v>
      </c>
      <c r="C500" s="31" t="s">
        <v>2068</v>
      </c>
      <c r="D500" s="31" t="s">
        <v>64</v>
      </c>
      <c r="E500" s="160" t="b">
        <f>IF(E480=TRUE,TRUE,FALSE)</f>
        <v>1</v>
      </c>
      <c r="F500" s="161"/>
    </row>
    <row r="501">
      <c r="A501" s="156" t="str">
        <f>HYPERLINK("https://github.com/pytorch/pytorch/blob/f99ab991dcd3719ee25dd3377a53ea12e518308e/test/distributed/checkpoint/test_planner.py#L591", "TestLoadPlanner")</f>
        <v>TestLoadPlanner</v>
      </c>
      <c r="B501" s="36" t="s">
        <v>2009</v>
      </c>
      <c r="C501" s="36" t="s">
        <v>2069</v>
      </c>
      <c r="D501" s="36" t="s">
        <v>64</v>
      </c>
      <c r="E501" s="157" t="b">
        <f>IF(E480=TRUE,TRUE,FALSE)</f>
        <v>1</v>
      </c>
      <c r="F501" s="158"/>
    </row>
    <row r="502">
      <c r="A502" s="159" t="str">
        <f>HYPERLINK("https://github.com/pytorch/pytorch/blob/f99ab991dcd3719ee25dd3377a53ea12e518308e/test/distributed/checkpoint/test_planner.py#L565", "TestValidateGlobalPlan")</f>
        <v>TestValidateGlobalPlan</v>
      </c>
      <c r="B502" s="31" t="s">
        <v>2009</v>
      </c>
      <c r="C502" s="31" t="s">
        <v>2070</v>
      </c>
      <c r="D502" s="31" t="s">
        <v>64</v>
      </c>
      <c r="E502" s="160" t="b">
        <f>IF(E480=TRUE,TRUE,FALSE)</f>
        <v>1</v>
      </c>
      <c r="F502" s="161"/>
    </row>
    <row r="503">
      <c r="A503" s="156" t="str">
        <f>HYPERLINK("https://github.com/pytorch/pytorch/blob/f99ab991dcd3719ee25dd3377a53ea12e518308e/test/distributed/checkpoint/test_planner.py#L472", "TestPlannerHelpers")</f>
        <v>TestPlannerHelpers</v>
      </c>
      <c r="B503" s="36" t="s">
        <v>2009</v>
      </c>
      <c r="C503" s="36" t="s">
        <v>2071</v>
      </c>
      <c r="D503" s="36" t="s">
        <v>64</v>
      </c>
      <c r="E503" s="157" t="b">
        <f>IF(E480=TRUE,TRUE,FALSE)</f>
        <v>1</v>
      </c>
      <c r="F503" s="158"/>
    </row>
    <row r="504">
      <c r="A504" s="159" t="str">
        <f>HYPERLINK("https://github.com/pytorch/pytorch/blob/f99ab991dcd3719ee25dd3377a53ea12e518308e/test/distributed/checkpoint/test_format_utils.py#L49", "TestFormatUtils")</f>
        <v>TestFormatUtils</v>
      </c>
      <c r="B504" s="31" t="s">
        <v>2072</v>
      </c>
      <c r="C504" s="31" t="s">
        <v>2073</v>
      </c>
      <c r="D504" s="31" t="s">
        <v>1846</v>
      </c>
      <c r="E504" s="160" t="b">
        <f>IF(E480=TRUE,TRUE,FALSE)</f>
        <v>1</v>
      </c>
      <c r="F504" s="161"/>
    </row>
    <row r="505">
      <c r="A505" s="156" t="str">
        <f>HYPERLINK("https://github.com/pytorch/pytorch/blob/f99ab991dcd3719ee25dd3377a53ea12e518308e/test/distributed/checkpoint/test_consolidate_hf_safetensors.py#L28", "TestConsolidateHFSafeTensors")</f>
        <v>TestConsolidateHFSafeTensors</v>
      </c>
      <c r="B505" s="36" t="s">
        <v>2074</v>
      </c>
      <c r="C505" s="36" t="s">
        <v>2075</v>
      </c>
      <c r="D505" s="36" t="s">
        <v>1813</v>
      </c>
      <c r="E505" s="157" t="b">
        <f>IF(E480=TRUE,TRUE,FALSE)</f>
        <v>1</v>
      </c>
      <c r="F505" s="158"/>
    </row>
    <row r="506">
      <c r="A506" s="159" t="str">
        <f>HYPERLINK("https://github.com/pytorch/pytorch/blob/f99ab991dcd3719ee25dd3377a53ea12e518308e/test/distributed/checkpoint/test_hf_storage.py#L41", "TestHfStorage")</f>
        <v>TestHfStorage</v>
      </c>
      <c r="B506" s="31" t="s">
        <v>2076</v>
      </c>
      <c r="C506" s="31" t="s">
        <v>2077</v>
      </c>
      <c r="D506" s="31" t="s">
        <v>64</v>
      </c>
      <c r="E506" s="160" t="b">
        <f>IF(E480=TRUE,TRUE,FALSE)</f>
        <v>1</v>
      </c>
      <c r="F506" s="161"/>
    </row>
    <row r="507">
      <c r="A507" s="156" t="str">
        <f>HYPERLINK("https://github.com/pytorch/pytorch/blob/f99ab991dcd3719ee25dd3377a53ea12e518308e/test/distributed/checkpoint/test_quantized_hf_storage.py#L16", "TestQuantizedHfStorage")</f>
        <v>TestQuantizedHfStorage</v>
      </c>
      <c r="B507" s="36" t="s">
        <v>2076</v>
      </c>
      <c r="C507" s="36" t="s">
        <v>2078</v>
      </c>
      <c r="D507" s="36" t="s">
        <v>64</v>
      </c>
      <c r="E507" s="157" t="b">
        <f>IF(E480=TRUE,TRUE,FALSE)</f>
        <v>1</v>
      </c>
      <c r="F507" s="158"/>
    </row>
    <row r="508">
      <c r="A508" s="159" t="str">
        <f>HYPERLINK("https://github.com/pytorch/pytorch/blob/f99ab991dcd3719ee25dd3377a53ea12e518308e/test/distributed/checkpoint/test_hf_safetensor_e2e.py#L40", "TestSingleRankSaveLoad")</f>
        <v>TestSingleRankSaveLoad</v>
      </c>
      <c r="B508" s="31" t="s">
        <v>2079</v>
      </c>
      <c r="C508" s="31" t="s">
        <v>2080</v>
      </c>
      <c r="D508" s="31" t="s">
        <v>2081</v>
      </c>
      <c r="E508" s="160" t="b">
        <f>IF(E480=TRUE,TRUE,FALSE)</f>
        <v>1</v>
      </c>
      <c r="F508" s="161"/>
    </row>
    <row r="509">
      <c r="A509" s="156" t="str">
        <f>HYPERLINK("https://github.com/pytorch/pytorch/blob/f99ab991dcd3719ee25dd3377a53ea12e518308e/test/distributed/checkpoint/test_hf_safetensor_e2e.py#L277", "TestDistributedHFSafetensorsConsolidation")</f>
        <v>TestDistributedHFSafetensorsConsolidation</v>
      </c>
      <c r="B509" s="36" t="s">
        <v>2079</v>
      </c>
      <c r="C509" s="36" t="s">
        <v>2082</v>
      </c>
      <c r="D509" s="36" t="s">
        <v>1813</v>
      </c>
      <c r="E509" s="157" t="b">
        <f>IF(E480=TRUE,TRUE,FALSE)</f>
        <v>1</v>
      </c>
      <c r="F509" s="158"/>
    </row>
    <row r="510">
      <c r="A510" s="159" t="str">
        <f>HYPERLINK("https://github.com/pytorch/pytorch/blob/f99ab991dcd3719ee25dd3377a53ea12e518308e/test/distributed/checkpoint/test_tp_checkpoint.py#L40", "TestTpCheckpoint")</f>
        <v>TestTpCheckpoint</v>
      </c>
      <c r="B510" s="31" t="s">
        <v>2083</v>
      </c>
      <c r="C510" s="31" t="s">
        <v>2084</v>
      </c>
      <c r="D510" s="31" t="s">
        <v>1813</v>
      </c>
      <c r="E510" s="160" t="b">
        <f>IF(E480=TRUE,TRUE,FALSE)</f>
        <v>1</v>
      </c>
      <c r="F510" s="161"/>
    </row>
    <row r="511">
      <c r="A511" s="156" t="str">
        <f>HYPERLINK("https://github.com/pytorch/pytorch/blob/f99ab991dcd3719ee25dd3377a53ea12e518308e/test/distributed/checkpoint/test_hsdp_checkpoint.py#L74", "TestHSDPCheckpoint")</f>
        <v>TestHSDPCheckpoint</v>
      </c>
      <c r="B511" s="36" t="s">
        <v>2085</v>
      </c>
      <c r="C511" s="36" t="s">
        <v>2086</v>
      </c>
      <c r="D511" s="36" t="s">
        <v>2042</v>
      </c>
      <c r="E511" s="157" t="b">
        <f>IF(E480=TRUE,TRUE,FALSE)</f>
        <v>1</v>
      </c>
      <c r="F511" s="158"/>
    </row>
    <row r="512">
      <c r="A512" s="159" t="str">
        <f>HYPERLINK("https://github.com/pytorch/pytorch/blob/f99ab991dcd3719ee25dd3377a53ea12e518308e/test/distributed/checkpoint/test_fsdp_tp_checkpoint_conversion.py#L26", "TestFsdpTpCheckpointConversion")</f>
        <v>TestFsdpTpCheckpointConversion</v>
      </c>
      <c r="B512" s="31" t="s">
        <v>2087</v>
      </c>
      <c r="C512" s="31" t="s">
        <v>2088</v>
      </c>
      <c r="D512" s="31" t="s">
        <v>1813</v>
      </c>
      <c r="E512" s="160" t="b">
        <f>IF(E480=TRUE,TRUE,FALSE)</f>
        <v>1</v>
      </c>
      <c r="F512" s="161"/>
    </row>
    <row r="513">
      <c r="A513" s="135" t="str">
        <f>HYPERLINK("https://github.com/pytorch/pytorch/blob/f99ab991dcd3719ee25dd3377a53ea12e518308e/test/distributed/checkpoint/test_fsdp_model_state.py#L21", "FsdpModelStateCheckpoint")</f>
        <v>FsdpModelStateCheckpoint</v>
      </c>
      <c r="B513" s="1" t="s">
        <v>2089</v>
      </c>
      <c r="C513" s="1" t="s">
        <v>2090</v>
      </c>
      <c r="D513" s="1" t="s">
        <v>2044</v>
      </c>
      <c r="E513" s="136" t="b">
        <v>1</v>
      </c>
      <c r="F513" s="1"/>
    </row>
    <row r="514">
      <c r="A514" s="135" t="str">
        <f>HYPERLINK("https://github.com/pytorch/pytorch/blob/f99ab991dcd3719ee25dd3377a53ea12e518308e/test/distributed/checkpoint/test_dtensor_checkpoint.py#L74", "DTensorPlanner")</f>
        <v>DTensorPlanner</v>
      </c>
      <c r="B514" s="1" t="s">
        <v>2091</v>
      </c>
      <c r="C514" s="1" t="s">
        <v>2092</v>
      </c>
      <c r="D514" s="1" t="s">
        <v>1813</v>
      </c>
      <c r="E514" s="136" t="b">
        <v>1</v>
      </c>
      <c r="F514" s="1"/>
    </row>
    <row r="515">
      <c r="A515" s="135" t="str">
        <f>HYPERLINK("https://github.com/pytorch/pytorch/blob/f99ab991dcd3719ee25dd3377a53ea12e518308e/test/distributed/checkpoint/test_fsdp_optim_state.py#L24", "FsdpOptimStateCheckpoint")</f>
        <v>FsdpOptimStateCheckpoint</v>
      </c>
      <c r="B515" s="1" t="s">
        <v>2093</v>
      </c>
      <c r="C515" s="1" t="s">
        <v>2094</v>
      </c>
      <c r="D515" s="1" t="s">
        <v>2044</v>
      </c>
      <c r="E515" s="136" t="b">
        <v>1</v>
      </c>
      <c r="F515" s="1"/>
    </row>
    <row r="516">
      <c r="A516" s="128" t="str">
        <f>HYPERLINK("https://github.com/pytorch/pytorch/blob/f99ab991dcd3719ee25dd3377a53ea12e518308e/test/distributed/checkpoint/test_pg_transport.py#L209", "PgTransportCPU")</f>
        <v>PgTransportCPU</v>
      </c>
      <c r="B516" s="129" t="s">
        <v>2035</v>
      </c>
      <c r="C516" s="129" t="s">
        <v>2095</v>
      </c>
      <c r="D516" s="129" t="s">
        <v>2096</v>
      </c>
      <c r="E516" s="130" t="b">
        <v>0</v>
      </c>
      <c r="F516" s="129"/>
    </row>
    <row r="517">
      <c r="A517" s="135" t="str">
        <f>HYPERLINK("https://github.com/pytorch/pytorch/blob/f99ab991dcd3719ee25dd3377a53ea12e518308e/test/distributed/checkpoint/test_pg_transport.py#L235", "PgTransportGPU")</f>
        <v>PgTransportGPU</v>
      </c>
      <c r="B517" s="1" t="s">
        <v>2035</v>
      </c>
      <c r="C517" s="1" t="s">
        <v>2097</v>
      </c>
      <c r="D517" s="1" t="s">
        <v>2098</v>
      </c>
      <c r="E517" s="136" t="b">
        <v>1</v>
      </c>
      <c r="F517" s="1"/>
    </row>
    <row r="518">
      <c r="A518" s="151" t="s">
        <v>2099</v>
      </c>
      <c r="B518" s="152"/>
      <c r="C518" s="152"/>
      <c r="D518" s="153"/>
      <c r="E518" s="154" t="b">
        <v>1</v>
      </c>
      <c r="F518" s="155"/>
    </row>
    <row r="519">
      <c r="A519" s="156" t="str">
        <f>HYPERLINK("https://github.com/pytorch/pytorch/blob/f99ab991dcd3719ee25dd3377a53ea12e518308e/test/distributed/checkpoint/test_checkpoint.py#L77", "TestDistributedCheckpointing")</f>
        <v>TestDistributedCheckpointing</v>
      </c>
      <c r="B519" s="36" t="s">
        <v>2100</v>
      </c>
      <c r="C519" s="36" t="s">
        <v>2101</v>
      </c>
      <c r="D519" s="36" t="s">
        <v>1992</v>
      </c>
      <c r="E519" s="157" t="b">
        <f>IF(E518=TRUE,TRUE,FALSE)</f>
        <v>1</v>
      </c>
      <c r="F519" s="158"/>
    </row>
    <row r="520">
      <c r="A520" s="159" t="str">
        <f>HYPERLINK("https://github.com/pytorch/pytorch/blob/f99ab991dcd3719ee25dd3377a53ea12e518308e/test/distributed/checkpoint/test_file_system_checkpoint.py#L115", "TestDistributedStateDictSaveLoad")</f>
        <v>TestDistributedStateDictSaveLoad</v>
      </c>
      <c r="B520" s="31" t="s">
        <v>2102</v>
      </c>
      <c r="C520" s="31" t="s">
        <v>2103</v>
      </c>
      <c r="D520" s="31" t="s">
        <v>2104</v>
      </c>
      <c r="E520" s="160" t="b">
        <f>IF(E518=TRUE,TRUE,FALSE)</f>
        <v>1</v>
      </c>
      <c r="F520" s="161"/>
    </row>
    <row r="521">
      <c r="A521" s="156" t="str">
        <f>HYPERLINK("https://github.com/pytorch/pytorch/blob/f99ab991dcd3719ee25dd3377a53ea12e518308e/test/distributed/checkpoint/test_file_system_checkpoint_cpu.py#L159", "TestDistributedStateDictSaveLoadRot13")</f>
        <v>TestDistributedStateDictSaveLoadRot13</v>
      </c>
      <c r="B521" s="36" t="s">
        <v>2102</v>
      </c>
      <c r="C521" s="36" t="s">
        <v>2105</v>
      </c>
      <c r="D521" s="36" t="s">
        <v>2104</v>
      </c>
      <c r="E521" s="157" t="b">
        <f>IF(E518=TRUE,TRUE,FALSE)</f>
        <v>1</v>
      </c>
      <c r="F521" s="158"/>
    </row>
    <row r="522">
      <c r="A522" s="159" t="str">
        <f>HYPERLINK("https://github.com/pytorch/pytorch/blob/f99ab991dcd3719ee25dd3377a53ea12e518308e/test/distributed/checkpoint/test_file_system_checkpoint.py#L516", "TestDistributedStateDictSaveLoadWithCaching")</f>
        <v>TestDistributedStateDictSaveLoadWithCaching</v>
      </c>
      <c r="B522" s="31" t="s">
        <v>2102</v>
      </c>
      <c r="C522" s="31" t="s">
        <v>2106</v>
      </c>
      <c r="D522" s="31" t="s">
        <v>2104</v>
      </c>
      <c r="E522" s="160" t="b">
        <f>IF(E518=TRUE,TRUE,FALSE)</f>
        <v>1</v>
      </c>
      <c r="F522" s="161"/>
    </row>
    <row r="523">
      <c r="A523" s="156" t="str">
        <f>HYPERLINK("https://github.com/pytorch/pytorch/blob/f99ab991dcd3719ee25dd3377a53ea12e518308e/test/distributed/checkpoint/test_file_system_checkpoint.py#L168", "TestDistributedStateDictSaveLoadWithSharedTensor")</f>
        <v>TestDistributedStateDictSaveLoadWithSharedTensor</v>
      </c>
      <c r="B523" s="36" t="s">
        <v>2102</v>
      </c>
      <c r="C523" s="36" t="s">
        <v>2107</v>
      </c>
      <c r="D523" s="36" t="s">
        <v>2108</v>
      </c>
      <c r="E523" s="157" t="b">
        <f>IF(E518=TRUE,TRUE,FALSE)</f>
        <v>1</v>
      </c>
      <c r="F523" s="158"/>
    </row>
    <row r="524">
      <c r="A524" s="159" t="str">
        <f>HYPERLINK("https://github.com/pytorch/pytorch/blob/f99ab991dcd3719ee25dd3377a53ea12e518308e/test/distributed/checkpoint/test_file_system_checkpoint_cpu.py#L195", "TestDistributedStateDictSaveLoadZStandard")</f>
        <v>TestDistributedStateDictSaveLoadZStandard</v>
      </c>
      <c r="B524" s="31" t="s">
        <v>2102</v>
      </c>
      <c r="C524" s="31" t="s">
        <v>2109</v>
      </c>
      <c r="D524" s="31" t="s">
        <v>2104</v>
      </c>
      <c r="E524" s="160" t="b">
        <f>IF(E518=TRUE,TRUE,FALSE)</f>
        <v>1</v>
      </c>
      <c r="F524" s="161"/>
    </row>
    <row r="525">
      <c r="A525" s="156" t="str">
        <f>HYPERLINK("https://github.com/pytorch/pytorch/blob/f99ab991dcd3719ee25dd3377a53ea12e518308e/test/distributed/checkpoint/test_file_system_checkpoint.py#L225", "TestDistributedReshardOnLoad")</f>
        <v>TestDistributedReshardOnLoad</v>
      </c>
      <c r="B525" s="36" t="s">
        <v>2110</v>
      </c>
      <c r="C525" s="36" t="s">
        <v>2111</v>
      </c>
      <c r="D525" s="36" t="s">
        <v>2108</v>
      </c>
      <c r="E525" s="157" t="b">
        <f>IF(E518=TRUE,TRUE,FALSE)</f>
        <v>1</v>
      </c>
      <c r="F525" s="158"/>
    </row>
    <row r="526">
      <c r="A526" s="135" t="str">
        <f>HYPERLINK("https://github.com/pytorch/pytorch/blob/f99ab991dcd3719ee25dd3377a53ea12e518308e/test/distributed/checkpoint/test_file_system_checkpoint_cpu.py#L130", "TestDistributedStateDictSaveLoad")</f>
        <v>TestDistributedStateDictSaveLoad</v>
      </c>
      <c r="B526" s="1" t="s">
        <v>2112</v>
      </c>
      <c r="C526" s="1" t="s">
        <v>2113</v>
      </c>
      <c r="D526" s="1" t="s">
        <v>2104</v>
      </c>
      <c r="E526" s="136" t="b">
        <v>1</v>
      </c>
      <c r="F526" s="1"/>
    </row>
    <row r="527">
      <c r="A527" s="135" t="str">
        <f>HYPERLINK("https://github.com/pytorch/pytorch/blob/f99ab991dcd3719ee25dd3377a53ea12e518308e/test/distributed/checkpoint/test_file_system_checkpoint_cpu.py#L159", "TestDistributedStateDictSaveLoadRot13")</f>
        <v>TestDistributedStateDictSaveLoadRot13</v>
      </c>
      <c r="B527" s="1" t="s">
        <v>2112</v>
      </c>
      <c r="C527" s="1" t="s">
        <v>2114</v>
      </c>
      <c r="D527" s="1" t="s">
        <v>2104</v>
      </c>
      <c r="E527" s="136" t="b">
        <v>1</v>
      </c>
      <c r="F527" s="1"/>
    </row>
    <row r="528">
      <c r="A528" s="135" t="str">
        <f>HYPERLINK("https://github.com/pytorch/pytorch/blob/f99ab991dcd3719ee25dd3377a53ea12e518308e/test/distributed/checkpoint/test_file_system_checkpoint_cpu.py#L195", "TestDistributedStateDictSaveLoadZStandard")</f>
        <v>TestDistributedStateDictSaveLoadZStandard</v>
      </c>
      <c r="B528" s="1" t="s">
        <v>2112</v>
      </c>
      <c r="C528" s="1" t="s">
        <v>2115</v>
      </c>
      <c r="D528" s="1" t="s">
        <v>2104</v>
      </c>
      <c r="E528" s="136" t="b">
        <v>1</v>
      </c>
      <c r="F528" s="1"/>
    </row>
    <row r="529">
      <c r="A529" s="135" t="str">
        <f>HYPERLINK("https://github.com/pytorch/pytorch/blob/f99ab991dcd3719ee25dd3377a53ea12e518308e/test/distributed/checkpoint/test_file_system_checkpoint_cpu.py#L228", "TestDistributedStateDictSaveLoadWithSharedTensor")</f>
        <v>TestDistributedStateDictSaveLoadWithSharedTensor</v>
      </c>
      <c r="B529" s="1" t="s">
        <v>2112</v>
      </c>
      <c r="C529" s="1" t="s">
        <v>2116</v>
      </c>
      <c r="D529" s="1" t="s">
        <v>2108</v>
      </c>
      <c r="E529" s="136" t="b">
        <v>1</v>
      </c>
      <c r="F529" s="1"/>
    </row>
    <row r="530">
      <c r="A530" s="135" t="str">
        <f>HYPERLINK("https://github.com/pytorch/pytorch/blob/f99ab991dcd3719ee25dd3377a53ea12e518308e/test/distributed/checkpoint/test_file_system_checkpoint_cpu.py#L281", "TestDistributedReshardOnLoad")</f>
        <v>TestDistributedReshardOnLoad</v>
      </c>
      <c r="B530" s="1" t="s">
        <v>2112</v>
      </c>
      <c r="C530" s="1" t="s">
        <v>2117</v>
      </c>
      <c r="D530" s="1" t="s">
        <v>2108</v>
      </c>
      <c r="E530" s="136" t="b">
        <v>1</v>
      </c>
      <c r="F530" s="1"/>
    </row>
    <row r="531">
      <c r="A531" s="159" t="str">
        <f>HYPERLINK("https://github.com/pytorch/pytorch/blob/f99ab991dcd3719ee25dd3377a53ea12e518308e/test/distributed/checkpoint/test_checkpoint.py#L238", "TestDistributedFailure")</f>
        <v>TestDistributedFailure</v>
      </c>
      <c r="B531" s="31" t="s">
        <v>2118</v>
      </c>
      <c r="C531" s="31" t="s">
        <v>2119</v>
      </c>
      <c r="D531" s="31" t="s">
        <v>1992</v>
      </c>
      <c r="E531" s="160" t="b">
        <f>IF(E518=TRUE,TRUE,FALSE)</f>
        <v>1</v>
      </c>
      <c r="F531" s="161"/>
    </row>
    <row r="532">
      <c r="A532" s="156" t="str">
        <f>HYPERLINK("https://github.com/pytorch/pytorch/blob/f99ab991dcd3719ee25dd3377a53ea12e518308e/test/distributed/checkpoint/e2e/test_e2e_save_and_load.py#L154", "TestE2ESaveAndLoad")</f>
        <v>TestE2ESaveAndLoad</v>
      </c>
      <c r="B532" s="36" t="s">
        <v>2120</v>
      </c>
      <c r="C532" s="36" t="s">
        <v>2121</v>
      </c>
      <c r="D532" s="36" t="s">
        <v>2044</v>
      </c>
      <c r="E532" s="157" t="b">
        <f>IF(E518=TRUE,TRUE,FALSE)</f>
        <v>1</v>
      </c>
      <c r="F532" s="158"/>
    </row>
    <row r="533">
      <c r="A533" s="159" t="str">
        <f>HYPERLINK("https://github.com/pytorch/pytorch/blob/f99ab991dcd3719ee25dd3377a53ea12e518308e/test/distributed/checkpoint/e2e/test_fine_tuning.py#L82", "TestFineTuning")</f>
        <v>TestFineTuning</v>
      </c>
      <c r="B533" s="31" t="s">
        <v>2122</v>
      </c>
      <c r="C533" s="31" t="s">
        <v>2123</v>
      </c>
      <c r="D533" s="31" t="s">
        <v>2042</v>
      </c>
      <c r="E533" s="160" t="b">
        <f>IF(E518=TRUE,TRUE,FALSE)</f>
        <v>1</v>
      </c>
      <c r="F533" s="161"/>
    </row>
    <row r="534">
      <c r="A534" s="156" t="str">
        <f>HYPERLINK("https://github.com/pytorch/pytorch/blob/f99ab991dcd3719ee25dd3377a53ea12e518308e/test/distributed/checkpoint/fsdp/test_fsdp_dsd.py#L38", "TestFullyShardWithDistributedStateDict")</f>
        <v>TestFullyShardWithDistributedStateDict</v>
      </c>
      <c r="B534" s="36" t="s">
        <v>2124</v>
      </c>
      <c r="C534" s="36" t="s">
        <v>2125</v>
      </c>
      <c r="D534" s="36" t="s">
        <v>1591</v>
      </c>
      <c r="E534" s="157" t="b">
        <f>IF(E518=TRUE,TRUE,FALSE)</f>
        <v>1</v>
      </c>
      <c r="F534" s="158"/>
    </row>
    <row r="535">
      <c r="A535" s="159" t="str">
        <f>HYPERLINK("https://github.com/pytorch/pytorch/blob/f99ab991dcd3719ee25dd3377a53ea12e518308e/test/distributed/checkpoint/e2e/test_e2e_save_and_load.py#L522", "TestInitStateDict")</f>
        <v>TestInitStateDict</v>
      </c>
      <c r="B535" s="31" t="s">
        <v>2126</v>
      </c>
      <c r="C535" s="31" t="s">
        <v>2127</v>
      </c>
      <c r="D535" s="31" t="s">
        <v>1846</v>
      </c>
      <c r="E535" s="160" t="b">
        <f>IF(E518=TRUE,TRUE,FALSE)</f>
        <v>1</v>
      </c>
      <c r="F535" s="161"/>
    </row>
    <row r="536">
      <c r="A536" s="156" t="str">
        <f>HYPERLINK("https://github.com/pytorch/pytorch/blob/f99ab991dcd3719ee25dd3377a53ea12e518308e/test/distributed/local_tensor_tutorial_examples/test_local_tensor_tutorial_examples.py#L58", "TestExample01BasicOperations")</f>
        <v>TestExample01BasicOperations</v>
      </c>
      <c r="B536" s="36" t="s">
        <v>2128</v>
      </c>
      <c r="C536" s="36" t="s">
        <v>2129</v>
      </c>
      <c r="D536" s="36" t="s">
        <v>1846</v>
      </c>
      <c r="E536" s="157" t="b">
        <f>IF(E518=TRUE,TRUE,FALSE)</f>
        <v>1</v>
      </c>
      <c r="F536" s="158"/>
    </row>
    <row r="537">
      <c r="A537" s="159" t="str">
        <f>HYPERLINK("https://github.com/pytorch/pytorch/blob/f99ab991dcd3719ee25dd3377a53ea12e518308e/test/distributed/local_tensor_tutorial_examples/test_local_tensor_tutorial_examples.py#L102", "TestExample02CollectiveOperations")</f>
        <v>TestExample02CollectiveOperations</v>
      </c>
      <c r="B537" s="31" t="s">
        <v>2128</v>
      </c>
      <c r="C537" s="31" t="s">
        <v>2130</v>
      </c>
      <c r="D537" s="31" t="s">
        <v>1846</v>
      </c>
      <c r="E537" s="160" t="b">
        <f>IF(E518=TRUE,TRUE,FALSE)</f>
        <v>1</v>
      </c>
      <c r="F537" s="161"/>
    </row>
    <row r="538">
      <c r="A538" s="156" t="str">
        <f>HYPERLINK("https://github.com/pytorch/pytorch/blob/f99ab991dcd3719ee25dd3377a53ea12e518308e/test/distributed/local_tensor_tutorial_examples/test_local_tensor_tutorial_examples.py#L144", "TestExample03DTensorIntegration")</f>
        <v>TestExample03DTensorIntegration</v>
      </c>
      <c r="B538" s="36" t="s">
        <v>2128</v>
      </c>
      <c r="C538" s="36" t="s">
        <v>2131</v>
      </c>
      <c r="D538" s="36" t="s">
        <v>1846</v>
      </c>
      <c r="E538" s="157" t="b">
        <f>IF(E518=TRUE,TRUE,FALSE)</f>
        <v>1</v>
      </c>
      <c r="F538" s="158"/>
    </row>
    <row r="539">
      <c r="A539" s="159" t="str">
        <f>HYPERLINK("https://github.com/pytorch/pytorch/blob/f99ab991dcd3719ee25dd3377a53ea12e518308e/test/distributed/local_tensor_tutorial_examples/test_local_tensor_tutorial_examples.py#L178", "TestExample04UnevenSharding")</f>
        <v>TestExample04UnevenSharding</v>
      </c>
      <c r="B539" s="31" t="s">
        <v>2128</v>
      </c>
      <c r="C539" s="31" t="s">
        <v>2132</v>
      </c>
      <c r="D539" s="31" t="s">
        <v>1846</v>
      </c>
      <c r="E539" s="160" t="b">
        <f>IF(E518=TRUE,TRUE,FALSE)</f>
        <v>1</v>
      </c>
      <c r="F539" s="161"/>
    </row>
    <row r="540">
      <c r="A540" s="156" t="str">
        <f>HYPERLINK("https://github.com/pytorch/pytorch/blob/f99ab991dcd3719ee25dd3377a53ea12e518308e/test/distributed/local_tensor_tutorial_examples/test_local_tensor_tutorial_examples.py#L216", "TestExample05RankSpecific")</f>
        <v>TestExample05RankSpecific</v>
      </c>
      <c r="B540" s="36" t="s">
        <v>2128</v>
      </c>
      <c r="C540" s="36" t="s">
        <v>2133</v>
      </c>
      <c r="D540" s="36" t="s">
        <v>1846</v>
      </c>
      <c r="E540" s="157" t="b">
        <f>IF(E518=TRUE,TRUE,FALSE)</f>
        <v>1</v>
      </c>
      <c r="F540" s="158"/>
    </row>
    <row r="541">
      <c r="A541" s="159" t="str">
        <f>HYPERLINK("https://github.com/pytorch/pytorch/blob/f99ab991dcd3719ee25dd3377a53ea12e518308e/test/distributed/local_tensor_tutorial_examples/test_local_tensor_tutorial_examples.py#L249", "TestExample06MultidimMesh")</f>
        <v>TestExample06MultidimMesh</v>
      </c>
      <c r="B541" s="31" t="s">
        <v>2128</v>
      </c>
      <c r="C541" s="31" t="s">
        <v>2134</v>
      </c>
      <c r="D541" s="31" t="s">
        <v>1846</v>
      </c>
      <c r="E541" s="160" t="b">
        <f>IF(E518=TRUE,TRUE,FALSE)</f>
        <v>1</v>
      </c>
      <c r="F541" s="161"/>
    </row>
    <row r="542">
      <c r="A542" s="156" t="str">
        <f>HYPERLINK("https://github.com/pytorch/pytorch/blob/f99ab991dcd3719ee25dd3377a53ea12e518308e/test/distributed/checkpoint/test_fsspec.py#L81", "TestFSSpec")</f>
        <v>TestFSSpec</v>
      </c>
      <c r="B542" s="36" t="s">
        <v>2135</v>
      </c>
      <c r="C542" s="36" t="s">
        <v>2136</v>
      </c>
      <c r="D542" s="36" t="s">
        <v>1992</v>
      </c>
      <c r="E542" s="157" t="b">
        <f>IF(E518=TRUE,TRUE,FALSE)</f>
        <v>1</v>
      </c>
      <c r="F542" s="158"/>
    </row>
    <row r="543">
      <c r="A543" s="107" t="s">
        <v>2137</v>
      </c>
      <c r="B543" s="108"/>
      <c r="C543" s="108"/>
      <c r="D543" s="109"/>
      <c r="E543" s="110" t="b">
        <v>1</v>
      </c>
      <c r="F543" s="111"/>
    </row>
    <row r="544">
      <c r="A544" s="143" t="s">
        <v>2138</v>
      </c>
      <c r="B544" s="144"/>
      <c r="C544" s="144"/>
      <c r="D544" s="145"/>
      <c r="E544" s="146" t="b">
        <v>0</v>
      </c>
      <c r="F544" s="124"/>
    </row>
    <row r="545">
      <c r="A545" s="122" t="str">
        <f>HYPERLINK("https://github.com/pytorch/pytorch/blob/f99ab991dcd3719ee25dd3377a53ea12e518308e/test/distributed/elastic/agent/server/test/local_elastic_agent_test.py#L266", "LocalElasticAgentTest")</f>
        <v>LocalElasticAgentTest</v>
      </c>
      <c r="B545" s="91" t="s">
        <v>2139</v>
      </c>
      <c r="C545" s="91" t="s">
        <v>2140</v>
      </c>
      <c r="D545" s="91" t="s">
        <v>64</v>
      </c>
      <c r="E545" s="123" t="b">
        <f>IF(E544=TRUE,TRUE,FALSE)</f>
        <v>0</v>
      </c>
      <c r="F545" s="124"/>
    </row>
    <row r="546">
      <c r="A546" s="124" t="s">
        <v>2141</v>
      </c>
      <c r="B546" s="91" t="s">
        <v>2142</v>
      </c>
      <c r="C546" s="91" t="s">
        <v>2143</v>
      </c>
      <c r="D546" s="91" t="s">
        <v>64</v>
      </c>
      <c r="E546" s="123" t="b">
        <f>IF(E544=TRUE,TRUE,FALSE)</f>
        <v>0</v>
      </c>
      <c r="F546" s="124"/>
    </row>
    <row r="547">
      <c r="A547" s="122" t="str">
        <f>HYPERLINK("https://github.com/pytorch/pytorch/blob/f99ab991dcd3719ee25dd3377a53ea12e518308e/test/distributed/elastic/timer/file_based_local_timer_test.py#L206", "FileTimerServerTest")</f>
        <v>FileTimerServerTest</v>
      </c>
      <c r="B547" s="91" t="s">
        <v>2144</v>
      </c>
      <c r="C547" s="91" t="s">
        <v>2145</v>
      </c>
      <c r="D547" s="91" t="s">
        <v>64</v>
      </c>
      <c r="E547" s="123" t="b">
        <f>IF(E544=TRUE,TRUE,FALSE)</f>
        <v>0</v>
      </c>
      <c r="F547" s="124"/>
    </row>
    <row r="548">
      <c r="A548" s="124" t="s">
        <v>2146</v>
      </c>
      <c r="B548" s="91" t="s">
        <v>2147</v>
      </c>
      <c r="C548" s="91" t="s">
        <v>2148</v>
      </c>
      <c r="D548" s="91" t="s">
        <v>64</v>
      </c>
      <c r="E548" s="123" t="b">
        <f>IF(E544=TRUE,TRUE,FALSE)</f>
        <v>0</v>
      </c>
      <c r="F548" s="124"/>
    </row>
    <row r="549">
      <c r="A549" s="124" t="s">
        <v>2149</v>
      </c>
      <c r="B549" s="91" t="s">
        <v>2150</v>
      </c>
      <c r="C549" s="91" t="s">
        <v>2151</v>
      </c>
      <c r="D549" s="91" t="s">
        <v>64</v>
      </c>
      <c r="E549" s="123" t="b">
        <f>IF(E544=TRUE,TRUE,FALSE)</f>
        <v>0</v>
      </c>
      <c r="F549" s="124"/>
    </row>
    <row r="550">
      <c r="A550" s="124" t="s">
        <v>2152</v>
      </c>
      <c r="B550" s="91" t="s">
        <v>2153</v>
      </c>
      <c r="C550" s="91" t="s">
        <v>2154</v>
      </c>
      <c r="D550" s="91" t="s">
        <v>64</v>
      </c>
      <c r="E550" s="123" t="b">
        <f>IF(E544=TRUE,TRUE,FALSE)</f>
        <v>0</v>
      </c>
      <c r="F550" s="124"/>
    </row>
    <row r="551">
      <c r="A551" s="124" t="s">
        <v>2155</v>
      </c>
      <c r="B551" s="91" t="s">
        <v>2156</v>
      </c>
      <c r="C551" s="91" t="s">
        <v>2157</v>
      </c>
      <c r="D551" s="91" t="s">
        <v>64</v>
      </c>
      <c r="E551" s="123" t="b">
        <f>IF(E544=TRUE,TRUE,FALSE)</f>
        <v>0</v>
      </c>
      <c r="F551" s="124"/>
    </row>
    <row r="552">
      <c r="A552" s="143" t="s">
        <v>2158</v>
      </c>
      <c r="B552" s="144"/>
      <c r="C552" s="144"/>
      <c r="D552" s="145"/>
      <c r="E552" s="146" t="b">
        <v>0</v>
      </c>
      <c r="F552" s="124"/>
    </row>
    <row r="553">
      <c r="A553" s="122" t="str">
        <f>HYPERLINK("https://github.com/pytorch/pytorch/blob/f99ab991dcd3719ee25dd3377a53ea12e518308e/test/distributed/elastic/rendezvous/static_rendezvous_test.py#L18", "StaticTCPRendezvousTest")</f>
        <v>StaticTCPRendezvousTest</v>
      </c>
      <c r="B553" s="91" t="s">
        <v>2159</v>
      </c>
      <c r="C553" s="91" t="s">
        <v>2160</v>
      </c>
      <c r="D553" s="91" t="s">
        <v>64</v>
      </c>
      <c r="E553" s="123" t="b">
        <f>IF(E552=TRUE,TRUE,FALSE)</f>
        <v>0</v>
      </c>
      <c r="F553" s="124"/>
    </row>
    <row r="554">
      <c r="A554" s="124" t="s">
        <v>2161</v>
      </c>
      <c r="B554" s="91" t="s">
        <v>2162</v>
      </c>
      <c r="C554" s="91" t="s">
        <v>2163</v>
      </c>
      <c r="D554" s="91" t="s">
        <v>64</v>
      </c>
      <c r="E554" s="123" t="b">
        <f>IF(E552=TRUE,TRUE,FALSE)</f>
        <v>0</v>
      </c>
      <c r="F554" s="124"/>
    </row>
    <row r="555">
      <c r="A555" s="122" t="str">
        <f>HYPERLINK("https://github.com/pytorch/pytorch/blob/f99ab991dcd3719ee25dd3377a53ea12e518308e/test/distributed/elastic/rendezvous/dynamic_rendezvous_test.py#L1152", "DynamicRendezvousHandlerTest")</f>
        <v>DynamicRendezvousHandlerTest</v>
      </c>
      <c r="B555" s="91" t="s">
        <v>2164</v>
      </c>
      <c r="C555" s="91" t="s">
        <v>2165</v>
      </c>
      <c r="D555" s="91" t="s">
        <v>64</v>
      </c>
      <c r="E555" s="123" t="b">
        <f>IF(E552=TRUE,TRUE,FALSE)</f>
        <v>0</v>
      </c>
      <c r="F555" s="124"/>
    </row>
    <row r="556">
      <c r="A556" s="124" t="s">
        <v>2166</v>
      </c>
      <c r="B556" s="91" t="s">
        <v>2167</v>
      </c>
      <c r="C556" s="91" t="s">
        <v>2168</v>
      </c>
      <c r="D556" s="91" t="s">
        <v>64</v>
      </c>
      <c r="E556" s="123" t="b">
        <f>IF(E552=TRUE,TRUE,FALSE)</f>
        <v>0</v>
      </c>
      <c r="F556" s="124"/>
    </row>
    <row r="557">
      <c r="A557" s="122" t="str">
        <f>HYPERLINK("https://github.com/pytorch/pytorch/blob/f99ab991dcd3719ee25dd3377a53ea12e518308e/test/distributed/elastic/rendezvous/etcd_rendezvous_test.py#L23", "EtcdRendezvousTest")</f>
        <v>EtcdRendezvousTest</v>
      </c>
      <c r="B557" s="91" t="s">
        <v>2169</v>
      </c>
      <c r="C557" s="91" t="s">
        <v>2170</v>
      </c>
      <c r="D557" s="91" t="s">
        <v>64</v>
      </c>
      <c r="E557" s="123" t="b">
        <f>IF(E552=TRUE,TRUE,FALSE)</f>
        <v>0</v>
      </c>
      <c r="F557" s="124"/>
    </row>
    <row r="558">
      <c r="A558" s="128" t="str">
        <f>HYPERLINK("https://github.com/pytorch/pytorch/blob/f99ab991dcd3719ee25dd3377a53ea12e518308e/test/distributed/elastic/rendezvous/rendezvous_backend_test.py#L20", "RendezvousBackendTestMixin")</f>
        <v>RendezvousBackendTestMixin</v>
      </c>
      <c r="B558" s="129" t="s">
        <v>2171</v>
      </c>
      <c r="C558" s="129" t="s">
        <v>2172</v>
      </c>
      <c r="D558" s="129" t="s">
        <v>64</v>
      </c>
      <c r="E558" s="130" t="b">
        <v>0</v>
      </c>
      <c r="F558" s="124"/>
    </row>
    <row r="559">
      <c r="A559" s="122" t="str">
        <f>HYPERLINK("https://github.com/pytorch/pytorch/blob/f99ab991dcd3719ee25dd3377a53ea12e518308e/test/distributed/elastic/rendezvous/etcd_rendezvous_backend_test.py#L32", "EtcdRendezvousBackendTest")</f>
        <v>EtcdRendezvousBackendTest</v>
      </c>
      <c r="B559" s="91" t="s">
        <v>2173</v>
      </c>
      <c r="C559" s="91" t="s">
        <v>2174</v>
      </c>
      <c r="D559" s="91" t="s">
        <v>64</v>
      </c>
      <c r="E559" s="123" t="b">
        <f>IF(E552=TRUE,TRUE,FALSE)</f>
        <v>0</v>
      </c>
      <c r="F559" s="124"/>
    </row>
    <row r="560">
      <c r="A560" s="122" t="str">
        <f>HYPERLINK("https://github.com/pytorch/pytorch/blob/f99ab991dcd3719ee25dd3377a53ea12e518308e/test/distributed/elastic/rendezvous/etcd_server_test.py#L22", "EtcdServerTest")</f>
        <v>EtcdServerTest</v>
      </c>
      <c r="B560" s="91" t="s">
        <v>2175</v>
      </c>
      <c r="C560" s="91" t="s">
        <v>2176</v>
      </c>
      <c r="D560" s="91" t="s">
        <v>64</v>
      </c>
      <c r="E560" s="123" t="b">
        <f>IF(E552=TRUE,TRUE,FALSE)</f>
        <v>0</v>
      </c>
      <c r="F560" s="124"/>
    </row>
    <row r="561">
      <c r="A561" s="124" t="s">
        <v>2177</v>
      </c>
      <c r="B561" s="91" t="s">
        <v>2178</v>
      </c>
      <c r="C561" s="91" t="s">
        <v>2179</v>
      </c>
      <c r="D561" s="91" t="s">
        <v>64</v>
      </c>
      <c r="E561" s="123" t="b">
        <f>IF(E552=TRUE,TRUE,FALSE)</f>
        <v>0</v>
      </c>
      <c r="F561" s="124"/>
    </row>
    <row r="562">
      <c r="A562" s="124" t="s">
        <v>2180</v>
      </c>
      <c r="B562" s="91" t="s">
        <v>2181</v>
      </c>
      <c r="C562" s="91" t="s">
        <v>2182</v>
      </c>
      <c r="D562" s="91" t="s">
        <v>64</v>
      </c>
      <c r="E562" s="123" t="b">
        <f>IF(E552=TRUE,TRUE,FALSE)</f>
        <v>0</v>
      </c>
      <c r="F562" s="124"/>
    </row>
    <row r="563">
      <c r="A563" s="122" t="str">
        <f>HYPERLINK("https://github.com/pytorch/pytorch/blob/f99ab991dcd3719ee25dd3377a53ea12e518308e/test/distributed/elastic/rendezvous/dynamic_rendezvous_test.py#L1569", "CreateHandlerTest")</f>
        <v>CreateHandlerTest</v>
      </c>
      <c r="B563" s="91" t="s">
        <v>2183</v>
      </c>
      <c r="C563" s="91" t="s">
        <v>2184</v>
      </c>
      <c r="D563" s="91" t="s">
        <v>64</v>
      </c>
      <c r="E563" s="123" t="b">
        <f>IF(E552=TRUE,TRUE,FALSE)</f>
        <v>0</v>
      </c>
      <c r="F563" s="124"/>
    </row>
    <row r="564">
      <c r="A564" s="143" t="s">
        <v>2185</v>
      </c>
      <c r="B564" s="144"/>
      <c r="C564" s="144"/>
      <c r="D564" s="145"/>
      <c r="E564" s="146" t="b">
        <v>0</v>
      </c>
      <c r="F564" s="124"/>
    </row>
    <row r="565">
      <c r="A565" s="122" t="str">
        <f>HYPERLINK("https://github.com/pytorch/pytorch/blob/f99ab991dcd3719ee25dd3377a53ea12e518308e/test/distributed/elastic/multiprocessing/errors/api_test.py#L57", "ApiTest")</f>
        <v>ApiTest</v>
      </c>
      <c r="B565" s="91" t="s">
        <v>2186</v>
      </c>
      <c r="C565" s="91" t="s">
        <v>2187</v>
      </c>
      <c r="D565" s="91" t="s">
        <v>64</v>
      </c>
      <c r="E565" s="123" t="b">
        <f>IF(E564=TRUE,TRUE,FALSE)</f>
        <v>0</v>
      </c>
      <c r="F565" s="124"/>
    </row>
    <row r="566">
      <c r="A566" s="124" t="s">
        <v>2188</v>
      </c>
      <c r="B566" s="91" t="s">
        <v>2189</v>
      </c>
      <c r="C566" s="91" t="s">
        <v>2190</v>
      </c>
      <c r="D566" s="91" t="s">
        <v>64</v>
      </c>
      <c r="E566" s="123" t="b">
        <f>IF(E564=TRUE,TRUE,FALSE)</f>
        <v>0</v>
      </c>
      <c r="F566" s="124"/>
    </row>
    <row r="567">
      <c r="A567" s="124" t="s">
        <v>2191</v>
      </c>
      <c r="B567" s="91" t="s">
        <v>2192</v>
      </c>
      <c r="C567" s="91" t="s">
        <v>2193</v>
      </c>
      <c r="D567" s="91" t="s">
        <v>64</v>
      </c>
      <c r="E567" s="123" t="b">
        <f>IF(E564=TRUE,TRUE,FALSE)</f>
        <v>0</v>
      </c>
      <c r="F567" s="124"/>
    </row>
    <row r="568">
      <c r="A568" s="124" t="s">
        <v>2194</v>
      </c>
      <c r="B568" s="91" t="s">
        <v>2195</v>
      </c>
      <c r="C568" s="91" t="s">
        <v>2196</v>
      </c>
      <c r="D568" s="91" t="s">
        <v>64</v>
      </c>
      <c r="E568" s="123" t="b">
        <f>IF(E564=TRUE,TRUE,FALSE)</f>
        <v>0</v>
      </c>
      <c r="F568" s="124"/>
    </row>
    <row r="569">
      <c r="A569" s="122" t="str">
        <f>HYPERLINK("https://github.com/pytorch/pytorch/blob/f99ab991dcd3719ee25dd3377a53ea12e518308e/test/distributed/elastic/multiprocessing/redirects_test.py#L27", "RedirectsTest")</f>
        <v>RedirectsTest</v>
      </c>
      <c r="B569" s="91" t="s">
        <v>2197</v>
      </c>
      <c r="C569" s="91" t="s">
        <v>2198</v>
      </c>
      <c r="D569" s="91" t="s">
        <v>64</v>
      </c>
      <c r="E569" s="123" t="b">
        <f>IF(E564=TRUE,TRUE,FALSE)</f>
        <v>0</v>
      </c>
      <c r="F569" s="124"/>
    </row>
    <row r="570">
      <c r="A570" s="143" t="s">
        <v>2199</v>
      </c>
      <c r="B570" s="144"/>
      <c r="C570" s="144"/>
      <c r="D570" s="145"/>
      <c r="E570" s="146" t="b">
        <v>0</v>
      </c>
      <c r="F570" s="124"/>
    </row>
    <row r="571">
      <c r="A571" s="124" t="s">
        <v>2200</v>
      </c>
      <c r="B571" s="91" t="s">
        <v>2201</v>
      </c>
      <c r="C571" s="91" t="s">
        <v>2202</v>
      </c>
      <c r="D571" s="91" t="s">
        <v>64</v>
      </c>
      <c r="E571" s="123" t="b">
        <f>IF(E570=TRUE,TRUE,FALSE)</f>
        <v>0</v>
      </c>
      <c r="F571" s="124"/>
    </row>
    <row r="572">
      <c r="A572" s="124" t="s">
        <v>2203</v>
      </c>
      <c r="B572" s="91" t="s">
        <v>2204</v>
      </c>
      <c r="C572" s="91" t="s">
        <v>2205</v>
      </c>
      <c r="D572" s="91" t="s">
        <v>64</v>
      </c>
      <c r="E572" s="123" t="b">
        <f>IF(E570=TRUE,TRUE,FALSE)</f>
        <v>0</v>
      </c>
      <c r="F572" s="124"/>
    </row>
    <row r="573">
      <c r="A573" s="124" t="s">
        <v>2206</v>
      </c>
      <c r="B573" s="91" t="s">
        <v>2207</v>
      </c>
      <c r="C573" s="91" t="s">
        <v>2208</v>
      </c>
      <c r="D573" s="91" t="s">
        <v>64</v>
      </c>
      <c r="E573" s="123" t="b">
        <f>IF(E570=TRUE,TRUE,FALSE)</f>
        <v>0</v>
      </c>
      <c r="F573" s="124"/>
    </row>
    <row r="574">
      <c r="A574" s="165" t="s">
        <v>2209</v>
      </c>
      <c r="B574" s="166"/>
      <c r="C574" s="166"/>
      <c r="D574" s="167"/>
      <c r="E574" s="168" t="b">
        <v>0</v>
      </c>
      <c r="F574" s="164"/>
    </row>
    <row r="575">
      <c r="A575" s="162" t="str">
        <f>HYPERLINK("https://github.com/pytorch/pytorch/blob/f99ab991dcd3719ee25dd3377a53ea12e518308e/test/distributed/elastic/rendezvous/dynamic_rendezvous_test.py#L224", "BackendRendezvousStateHolderTest")</f>
        <v>BackendRendezvousStateHolderTest</v>
      </c>
      <c r="B575" s="92" t="s">
        <v>2210</v>
      </c>
      <c r="C575" s="92" t="s">
        <v>2211</v>
      </c>
      <c r="D575" s="92" t="s">
        <v>64</v>
      </c>
      <c r="E575" s="163" t="b">
        <f>IF(E574=TRUE,TRUE,FALSE)</f>
        <v>0</v>
      </c>
      <c r="F575" s="164"/>
    </row>
    <row r="576">
      <c r="A576" s="162" t="str">
        <f>HYPERLINK("https://github.com/pytorch/pytorch/blob/f99ab991dcd3719ee25dd3377a53ea12e518308e/test/distributed/elastic/rendezvous/dynamic_rendezvous_test.py#L122", "NodeDescGeneratorTest")</f>
        <v>NodeDescGeneratorTest</v>
      </c>
      <c r="B576" s="92" t="s">
        <v>2210</v>
      </c>
      <c r="C576" s="92" t="s">
        <v>2212</v>
      </c>
      <c r="D576" s="92" t="s">
        <v>64</v>
      </c>
      <c r="E576" s="163" t="b">
        <f>IF(E574=TRUE,TRUE,FALSE)</f>
        <v>0</v>
      </c>
      <c r="F576" s="164"/>
    </row>
    <row r="577">
      <c r="A577" s="162" t="str">
        <f>HYPERLINK("https://github.com/pytorch/pytorch/blob/f99ab991dcd3719ee25dd3377a53ea12e518308e/test/distributed/elastic/rendezvous/dynamic_rendezvous_test.py#L106", "NodeDescTest")</f>
        <v>NodeDescTest</v>
      </c>
      <c r="B577" s="92" t="s">
        <v>2210</v>
      </c>
      <c r="C577" s="92" t="s">
        <v>2213</v>
      </c>
      <c r="D577" s="92" t="s">
        <v>64</v>
      </c>
      <c r="E577" s="163" t="b">
        <f>IF(E574=TRUE,TRUE,FALSE)</f>
        <v>0</v>
      </c>
      <c r="F577" s="164"/>
    </row>
    <row r="578">
      <c r="A578" s="162" t="str">
        <f>HYPERLINK("https://github.com/pytorch/pytorch/blob/f99ab991dcd3719ee25dd3377a53ea12e518308e/test/distributed/elastic/rendezvous/dynamic_rendezvous_test.py#L137", "RendezvousStateTest")</f>
        <v>RendezvousStateTest</v>
      </c>
      <c r="B578" s="92" t="s">
        <v>2210</v>
      </c>
      <c r="C578" s="92" t="s">
        <v>2214</v>
      </c>
      <c r="D578" s="92" t="s">
        <v>64</v>
      </c>
      <c r="E578" s="163" t="b">
        <f>IF(E574=TRUE,TRUE,FALSE)</f>
        <v>0</v>
      </c>
      <c r="F578" s="164"/>
    </row>
    <row r="579">
      <c r="A579" s="162" t="str">
        <f>HYPERLINK("https://github.com/pytorch/pytorch/blob/f99ab991dcd3719ee25dd3377a53ea12e518308e/test/distributed/elastic/rendezvous/dynamic_rendezvous_test.py#L72", "RendezvousTimeoutTest")</f>
        <v>RendezvousTimeoutTest</v>
      </c>
      <c r="B579" s="92" t="s">
        <v>2210</v>
      </c>
      <c r="C579" s="92" t="s">
        <v>2215</v>
      </c>
      <c r="D579" s="92" t="s">
        <v>64</v>
      </c>
      <c r="E579" s="163" t="b">
        <f>IF(E574=TRUE,TRUE,FALSE)</f>
        <v>0</v>
      </c>
      <c r="F579" s="164"/>
    </row>
    <row r="580">
      <c r="A580" s="162" t="str">
        <f>HYPERLINK("https://github.com/pytorch/pytorch/blob/f99ab991dcd3719ee25dd3377a53ea12e518308e/test/distributed/elastic/rendezvous/dynamic_rendezvous_test.py#L539", "DistributedRendezvousOpExecutorTest")</f>
        <v>DistributedRendezvousOpExecutorTest</v>
      </c>
      <c r="B580" s="92" t="s">
        <v>2210</v>
      </c>
      <c r="C580" s="92" t="s">
        <v>2216</v>
      </c>
      <c r="D580" s="92" t="s">
        <v>64</v>
      </c>
      <c r="E580" s="163" t="b">
        <f>IF(E574=TRUE,TRUE,FALSE)</f>
        <v>0</v>
      </c>
      <c r="F580" s="164"/>
    </row>
    <row r="581">
      <c r="A581" s="162" t="str">
        <f>HYPERLINK("https://github.com/pytorch/pytorch/blob/f99ab991dcd3719ee25dd3377a53ea12e518308e/test/distributed/elastic/rendezvous/dynamic_rendezvous_test.py#L1501", "DynamicRendezvousHandlerFromBackendTest")</f>
        <v>DynamicRendezvousHandlerFromBackendTest</v>
      </c>
      <c r="B581" s="92" t="s">
        <v>2217</v>
      </c>
      <c r="C581" s="92" t="s">
        <v>2218</v>
      </c>
      <c r="D581" s="92" t="s">
        <v>64</v>
      </c>
      <c r="E581" s="163" t="b">
        <f>IF(E574=TRUE,TRUE,FALSE)</f>
        <v>0</v>
      </c>
      <c r="F581" s="164"/>
    </row>
    <row r="582">
      <c r="A582" s="162" t="str">
        <f>HYPERLINK("https://github.com/pytorch/pytorch/blob/f99ab991dcd3719ee25dd3377a53ea12e518308e/test/distributed/elastic/rendezvous/dynamic_rendezvous_test.py#L1098", "TestRendezvousCloseOp")</f>
        <v>TestRendezvousCloseOp</v>
      </c>
      <c r="B582" s="92" t="s">
        <v>2210</v>
      </c>
      <c r="C582" s="92" t="s">
        <v>2219</v>
      </c>
      <c r="D582" s="92" t="s">
        <v>64</v>
      </c>
      <c r="E582" s="163" t="b">
        <f>IF(E574=TRUE,TRUE,FALSE)</f>
        <v>0</v>
      </c>
      <c r="F582" s="164"/>
    </row>
    <row r="583">
      <c r="A583" s="162" t="str">
        <f>HYPERLINK("https://github.com/pytorch/pytorch/blob/f99ab991dcd3719ee25dd3377a53ea12e518308e/test/distributed/elastic/rendezvous/dynamic_rendezvous_test.py#L921", "TestRendezvousExitOp")</f>
        <v>TestRendezvousExitOp</v>
      </c>
      <c r="B583" s="92" t="s">
        <v>2210</v>
      </c>
      <c r="C583" s="92" t="s">
        <v>2220</v>
      </c>
      <c r="D583" s="92" t="s">
        <v>64</v>
      </c>
      <c r="E583" s="163" t="b">
        <f>IF(E574=TRUE,TRUE,FALSE)</f>
        <v>0</v>
      </c>
      <c r="F583" s="164"/>
    </row>
    <row r="584">
      <c r="A584" s="162" t="str">
        <f>HYPERLINK("https://github.com/pytorch/pytorch/blob/f99ab991dcd3719ee25dd3377a53ea12e518308e/test/distributed/elastic/rendezvous/dynamic_rendezvous_test.py#L941", "TestRendezvousJoinOp")</f>
        <v>TestRendezvousJoinOp</v>
      </c>
      <c r="B584" s="92" t="s">
        <v>2210</v>
      </c>
      <c r="C584" s="92" t="s">
        <v>2221</v>
      </c>
      <c r="D584" s="92" t="s">
        <v>64</v>
      </c>
      <c r="E584" s="163" t="b">
        <f>IF(E574=TRUE,TRUE,FALSE)</f>
        <v>0</v>
      </c>
      <c r="F584" s="164"/>
    </row>
    <row r="585">
      <c r="A585" s="162" t="str">
        <f>HYPERLINK("https://github.com/pytorch/pytorch/blob/f99ab991dcd3719ee25dd3377a53ea12e518308e/test/distributed/elastic/rendezvous/dynamic_rendezvous_test.py#L1116", "TestRendezvousKeepAliveOp")</f>
        <v>TestRendezvousKeepAliveOp</v>
      </c>
      <c r="B585" s="92" t="s">
        <v>2210</v>
      </c>
      <c r="C585" s="92" t="s">
        <v>2222</v>
      </c>
      <c r="D585" s="92" t="s">
        <v>64</v>
      </c>
      <c r="E585" s="163" t="b">
        <f>IF(E574=TRUE,TRUE,FALSE)</f>
        <v>0</v>
      </c>
      <c r="F585" s="164"/>
    </row>
    <row r="586">
      <c r="A586" s="162" t="str">
        <f>HYPERLINK("https://github.com/pytorch/pytorch/blob/f99ab991dcd3719ee25dd3377a53ea12e518308e/test/distributed/elastic/rendezvous/out_of_tree_rendezvous_test.py#L19", "OutOfTreeRendezvousTest")</f>
        <v>OutOfTreeRendezvousTest</v>
      </c>
      <c r="B586" s="92" t="s">
        <v>2223</v>
      </c>
      <c r="C586" s="92" t="s">
        <v>2224</v>
      </c>
      <c r="D586" s="92" t="s">
        <v>64</v>
      </c>
      <c r="E586" s="163" t="b">
        <f>IF(E574=TRUE,TRUE,FALSE)</f>
        <v>0</v>
      </c>
      <c r="F586" s="164"/>
    </row>
    <row r="587">
      <c r="A587" s="162" t="str">
        <f>HYPERLINK("https://github.com/pytorch/pytorch/blob/f99ab991dcd3719ee25dd3377a53ea12e518308e/test/distributed/elastic/rendezvous/api_test.py#L228", "RendezvousHandlerRegistryTest")</f>
        <v>RendezvousHandlerRegistryTest</v>
      </c>
      <c r="B587" s="92" t="s">
        <v>2225</v>
      </c>
      <c r="C587" s="92" t="s">
        <v>2226</v>
      </c>
      <c r="D587" s="92" t="s">
        <v>64</v>
      </c>
      <c r="E587" s="163" t="b">
        <f>IF(E574=TRUE,TRUE,FALSE)</f>
        <v>0</v>
      </c>
      <c r="F587" s="164"/>
    </row>
    <row r="588">
      <c r="A588" s="162" t="str">
        <f>HYPERLINK("https://github.com/pytorch/pytorch/blob/f99ab991dcd3719ee25dd3377a53ea12e518308e/test/distributed/elastic/rendezvous/api_test.py#L20", "RendezvousParametersTest")</f>
        <v>RendezvousParametersTest</v>
      </c>
      <c r="B588" s="92" t="s">
        <v>2225</v>
      </c>
      <c r="C588" s="92" t="s">
        <v>2227</v>
      </c>
      <c r="D588" s="92" t="s">
        <v>64</v>
      </c>
      <c r="E588" s="163" t="b">
        <f>IF(E574=TRUE,TRUE,FALSE)</f>
        <v>0</v>
      </c>
      <c r="F588" s="164"/>
    </row>
    <row r="589">
      <c r="A589" s="162" t="str">
        <f>HYPERLINK("https://github.com/pytorch/pytorch/blob/f99ab991dcd3719ee25dd3377a53ea12e518308e/test/distributed/elastic/rendezvous/c10d_rendezvous_backend_test.py#L49", "FileStoreBackendTest")</f>
        <v>FileStoreBackendTest</v>
      </c>
      <c r="B589" s="92" t="s">
        <v>2228</v>
      </c>
      <c r="C589" s="92" t="s">
        <v>2229</v>
      </c>
      <c r="D589" s="92" t="s">
        <v>64</v>
      </c>
      <c r="E589" s="163" t="b">
        <f>IF(E574=TRUE,TRUE,FALSE)</f>
        <v>0</v>
      </c>
      <c r="F589" s="164"/>
    </row>
    <row r="590">
      <c r="A590" s="162" t="str">
        <f>HYPERLINK("https://github.com/pytorch/pytorch/blob/f99ab991dcd3719ee25dd3377a53ea12e518308e/test/distributed/elastic/rendezvous/c10d_rendezvous_backend_test.py#L32", "TCPStoreBackendTest")</f>
        <v>TCPStoreBackendTest</v>
      </c>
      <c r="B590" s="92" t="s">
        <v>2228</v>
      </c>
      <c r="C590" s="92" t="s">
        <v>2230</v>
      </c>
      <c r="D590" s="92" t="s">
        <v>64</v>
      </c>
      <c r="E590" s="163" t="b">
        <f>IF(E574=TRUE,TRUE,FALSE)</f>
        <v>0</v>
      </c>
      <c r="F590" s="164"/>
    </row>
    <row r="591">
      <c r="A591" s="162" t="str">
        <f>HYPERLINK("https://github.com/pytorch/pytorch/blob/f99ab991dcd3719ee25dd3377a53ea12e518308e/test/distributed/elastic/rendezvous/utils_test.py#L286", "PeriodicTimerTest")</f>
        <v>PeriodicTimerTest</v>
      </c>
      <c r="B591" s="92" t="s">
        <v>2231</v>
      </c>
      <c r="C591" s="92" t="s">
        <v>2232</v>
      </c>
      <c r="D591" s="92" t="s">
        <v>64</v>
      </c>
      <c r="E591" s="163" t="b">
        <f>IF(E574=TRUE,TRUE,FALSE)</f>
        <v>0</v>
      </c>
      <c r="F591" s="164"/>
    </row>
    <row r="592">
      <c r="A592" s="162" t="str">
        <f>HYPERLINK("https://github.com/pytorch/pytorch/blob/f99ab991dcd3719ee25dd3377a53ea12e518308e/test/distributed/elastic/rendezvous/utils_test.py#L26", "UtilsTest")</f>
        <v>UtilsTest</v>
      </c>
      <c r="B592" s="92" t="s">
        <v>2231</v>
      </c>
      <c r="C592" s="92" t="s">
        <v>2233</v>
      </c>
      <c r="D592" s="92" t="s">
        <v>64</v>
      </c>
      <c r="E592" s="163" t="b">
        <f>IF(E574=TRUE,TRUE,FALSE)</f>
        <v>0</v>
      </c>
      <c r="F592" s="164"/>
    </row>
    <row r="593">
      <c r="A593" s="165" t="s">
        <v>2234</v>
      </c>
      <c r="B593" s="166"/>
      <c r="C593" s="166"/>
      <c r="D593" s="167"/>
      <c r="E593" s="168" t="b">
        <v>0</v>
      </c>
      <c r="F593" s="164"/>
    </row>
    <row r="594">
      <c r="A594" s="162" t="str">
        <f>HYPERLINK("https://github.com/pytorch/pytorch/blob/f99ab991dcd3719ee25dd3377a53ea12e518308e/test/distributed/elastic/multiprocessing/api_test.py#L51", "RunProcResultsTest")</f>
        <v>RunProcResultsTest</v>
      </c>
      <c r="B594" s="92" t="s">
        <v>2235</v>
      </c>
      <c r="C594" s="92" t="s">
        <v>2236</v>
      </c>
      <c r="D594" s="92" t="s">
        <v>64</v>
      </c>
      <c r="E594" s="163" t="b">
        <f>IF(E593=TRUE,TRUE,FALSE)</f>
        <v>0</v>
      </c>
      <c r="F594" s="164"/>
    </row>
    <row r="595">
      <c r="A595" s="162" t="str">
        <f>HYPERLINK("https://github.com/pytorch/pytorch/blob/f99ab991dcd3719ee25dd3377a53ea12e518308e/test/distributed/elastic/multiprocessing/test_api.py#L22", "SignalHandlingTest")</f>
        <v>SignalHandlingTest</v>
      </c>
      <c r="B595" s="92" t="s">
        <v>2186</v>
      </c>
      <c r="C595" s="92" t="s">
        <v>2237</v>
      </c>
      <c r="D595" s="92" t="s">
        <v>64</v>
      </c>
      <c r="E595" s="163" t="b">
        <f>IF(E593=TRUE,TRUE,FALSE)</f>
        <v>0</v>
      </c>
      <c r="F595" s="164"/>
    </row>
    <row r="596">
      <c r="A596" s="162" t="str">
        <f>HYPERLINK("https://github.com/pytorch/pytorch/blob/f99ab991dcd3719ee25dd3377a53ea12e518308e/test/distributed/elastic/multiprocessing/api_test.py#L231", "_StartProcessesTest")</f>
        <v>_StartProcessesTest</v>
      </c>
      <c r="B596" s="92" t="s">
        <v>2235</v>
      </c>
      <c r="C596" s="92" t="s">
        <v>2238</v>
      </c>
      <c r="D596" s="92" t="s">
        <v>64</v>
      </c>
      <c r="E596" s="163" t="b">
        <f>IF(E593=TRUE,TRUE,FALSE)</f>
        <v>0</v>
      </c>
      <c r="F596" s="164"/>
    </row>
    <row r="597">
      <c r="A597" s="162" t="str">
        <f>HYPERLINK("https://github.com/pytorch/pytorch/blob/f99ab991dcd3719ee25dd3377a53ea12e518308e/test/distributed/elastic/multiprocessing/api_test.py#L94", "StdTest")</f>
        <v>StdTest</v>
      </c>
      <c r="B597" s="92" t="s">
        <v>2235</v>
      </c>
      <c r="C597" s="92" t="s">
        <v>2239</v>
      </c>
      <c r="D597" s="92" t="s">
        <v>64</v>
      </c>
      <c r="E597" s="163" t="b">
        <f>IF(E593=TRUE,TRUE,FALSE)</f>
        <v>0</v>
      </c>
      <c r="F597" s="164"/>
    </row>
    <row r="598">
      <c r="A598" s="162" t="str">
        <f>HYPERLINK("https://github.com/pytorch/pytorch/blob/f99ab991dcd3719ee25dd3377a53ea12e518308e/test/distributed/elastic/multiprocessing/tail_log_test.py#L31", "TailLogTest")</f>
        <v>TailLogTest</v>
      </c>
      <c r="B598" s="92" t="s">
        <v>2240</v>
      </c>
      <c r="C598" s="92" t="s">
        <v>2241</v>
      </c>
      <c r="D598" s="92" t="s">
        <v>64</v>
      </c>
      <c r="E598" s="163" t="b">
        <f>IF(E593=TRUE,TRUE,FALSE)</f>
        <v>0</v>
      </c>
      <c r="F598" s="164"/>
    </row>
    <row r="599">
      <c r="A599" s="165" t="s">
        <v>2242</v>
      </c>
      <c r="B599" s="166"/>
      <c r="C599" s="166"/>
      <c r="D599" s="167"/>
      <c r="E599" s="168" t="b">
        <v>0</v>
      </c>
      <c r="F599" s="164"/>
    </row>
    <row r="600">
      <c r="A600" s="162" t="str">
        <f>HYPERLINK("https://github.com/pytorch/pytorch/blob/f99ab991dcd3719ee25dd3377a53ea12e518308e/test/distributed/elastic/agent/server/test/api_test.py#L401", "SimpleElasticAgentTest")</f>
        <v>SimpleElasticAgentTest</v>
      </c>
      <c r="B600" s="92" t="s">
        <v>2243</v>
      </c>
      <c r="C600" s="92" t="s">
        <v>2244</v>
      </c>
      <c r="D600" s="92" t="s">
        <v>64</v>
      </c>
      <c r="E600" s="163" t="b">
        <f>IF(E599=TRUE,TRUE,FALSE)</f>
        <v>0</v>
      </c>
      <c r="F600" s="164"/>
    </row>
    <row r="601">
      <c r="A601" s="162" t="str">
        <f>HYPERLINK("https://github.com/pytorch/pytorch/blob/f99ab991dcd3719ee25dd3377a53ea12e518308e/test/distributed/elastic/agent/server/test/api_test.py#L161", "RecordWorkerEventsTest")</f>
        <v>RecordWorkerEventsTest</v>
      </c>
      <c r="B601" s="92" t="s">
        <v>2243</v>
      </c>
      <c r="C601" s="92" t="s">
        <v>2245</v>
      </c>
      <c r="D601" s="92" t="s">
        <v>64</v>
      </c>
      <c r="E601" s="163" t="b">
        <f>IF(E599=TRUE,TRUE,FALSE)</f>
        <v>0</v>
      </c>
      <c r="F601" s="164"/>
    </row>
    <row r="602">
      <c r="A602" s="162" t="str">
        <f>HYPERLINK("https://github.com/pytorch/pytorch/blob/f99ab991dcd3719ee25dd3377a53ea12e518308e/test/distributed/elastic/agent/server/test/api_test.py#L87", "RoleInstanceInfoTest")</f>
        <v>RoleInstanceInfoTest</v>
      </c>
      <c r="B602" s="92" t="s">
        <v>2243</v>
      </c>
      <c r="C602" s="92" t="s">
        <v>2246</v>
      </c>
      <c r="D602" s="92" t="s">
        <v>64</v>
      </c>
      <c r="E602" s="163" t="b">
        <f>IF(E599=TRUE,TRUE,FALSE)</f>
        <v>0</v>
      </c>
      <c r="F602" s="164"/>
    </row>
    <row r="603">
      <c r="A603" s="162" t="str">
        <f>HYPERLINK("https://github.com/pytorch/pytorch/blob/f99ab991dcd3719ee25dd3377a53ea12e518308e/test/distributed/elastic/agent/server/test/api_test.py#L53", "WorkerGroupTest")</f>
        <v>WorkerGroupTest</v>
      </c>
      <c r="B603" s="92" t="s">
        <v>2243</v>
      </c>
      <c r="C603" s="92" t="s">
        <v>2247</v>
      </c>
      <c r="D603" s="92" t="s">
        <v>64</v>
      </c>
      <c r="E603" s="163" t="b">
        <f>IF(E599=TRUE,TRUE,FALSE)</f>
        <v>0</v>
      </c>
      <c r="F603" s="164"/>
    </row>
    <row r="604">
      <c r="A604" s="162" t="str">
        <f>HYPERLINK("https://github.com/pytorch/pytorch/blob/f99ab991dcd3719ee25dd3377a53ea12e518308e/test/distributed/elastic/agent/server/test/api_test.py#L44", "WorkerStateTest")</f>
        <v>WorkerStateTest</v>
      </c>
      <c r="B604" s="92" t="s">
        <v>2243</v>
      </c>
      <c r="C604" s="92" t="s">
        <v>2248</v>
      </c>
      <c r="D604" s="92" t="s">
        <v>64</v>
      </c>
      <c r="E604" s="163" t="b">
        <f>IF(E599=TRUE,TRUE,FALSE)</f>
        <v>0</v>
      </c>
      <c r="F604" s="164"/>
    </row>
    <row r="605">
      <c r="A605" s="162" t="str">
        <f>HYPERLINK("https://github.com/pytorch/pytorch/blob/f99ab991dcd3719ee25dd3377a53ea12e518308e/test/distributed/elastic/test_control_plane.py#L62", "WorkerServerTest")</f>
        <v>WorkerServerTest</v>
      </c>
      <c r="B605" s="92" t="s">
        <v>2249</v>
      </c>
      <c r="C605" s="92" t="s">
        <v>2250</v>
      </c>
      <c r="D605" s="92" t="s">
        <v>2251</v>
      </c>
      <c r="E605" s="163" t="b">
        <f>IF(E599=TRUE,TRUE,FALSE)</f>
        <v>0</v>
      </c>
      <c r="F605" s="164"/>
    </row>
    <row r="606">
      <c r="A606" s="162" t="str">
        <f>HYPERLINK("https://github.com/pytorch/pytorch/blob/f99ab991dcd3719ee25dd3377a53ea12e518308e/test/distributed/elastic/rendezvous/dynamic_rendezvous_test.py#L1678", "IntegrationTest")</f>
        <v>IntegrationTest</v>
      </c>
      <c r="B606" s="92" t="s">
        <v>2252</v>
      </c>
      <c r="C606" s="92" t="s">
        <v>2253</v>
      </c>
      <c r="D606" s="92" t="s">
        <v>64</v>
      </c>
      <c r="E606" s="163" t="b">
        <f>IF(E599=TRUE,TRUE,FALSE)</f>
        <v>0</v>
      </c>
      <c r="F606" s="164"/>
    </row>
    <row r="607">
      <c r="A607" s="162" t="str">
        <f>HYPERLINK("https://github.com/pytorch/pytorch/blob/f99ab991dcd3719ee25dd3377a53ea12e518308e/test/distributed/launcher/api_test.py#L123", "ElasticLaunchTest")</f>
        <v>ElasticLaunchTest</v>
      </c>
      <c r="B607" s="92" t="s">
        <v>2254</v>
      </c>
      <c r="C607" s="92" t="s">
        <v>2255</v>
      </c>
      <c r="D607" s="92" t="s">
        <v>1294</v>
      </c>
      <c r="E607" s="163" t="b">
        <f>IF(E599=TRUE,TRUE,FALSE)</f>
        <v>0</v>
      </c>
      <c r="F607" s="164"/>
    </row>
    <row r="608">
      <c r="A608" s="165" t="s">
        <v>2256</v>
      </c>
      <c r="B608" s="166"/>
      <c r="C608" s="166"/>
      <c r="D608" s="167"/>
      <c r="E608" s="168" t="b">
        <v>0</v>
      </c>
      <c r="F608" s="164"/>
    </row>
    <row r="609">
      <c r="A609" s="162" t="str">
        <f>HYPERLINK("https://github.com/pytorch/pytorch/blob/f99ab991dcd3719ee25dd3377a53ea12e518308e/test/distributed/elastic/timer/api_test.py#L59", "TimerApiTest")</f>
        <v>TimerApiTest</v>
      </c>
      <c r="B609" s="92" t="s">
        <v>2257</v>
      </c>
      <c r="C609" s="92" t="s">
        <v>2258</v>
      </c>
      <c r="D609" s="92" t="s">
        <v>64</v>
      </c>
      <c r="E609" s="163" t="b">
        <f>IF(E608=TRUE,TRUE,FALSE)</f>
        <v>0</v>
      </c>
      <c r="F609" s="164"/>
    </row>
    <row r="610">
      <c r="A610" s="162" t="str">
        <f>HYPERLINK("https://github.com/pytorch/pytorch/blob/f99ab991dcd3719ee25dd3377a53ea12e518308e/test/distributed/elastic/utils/logging_test.py#L16", "LoggingTest")</f>
        <v>LoggingTest</v>
      </c>
      <c r="B610" s="92" t="s">
        <v>2259</v>
      </c>
      <c r="C610" s="92" t="s">
        <v>2260</v>
      </c>
      <c r="D610" s="92" t="s">
        <v>64</v>
      </c>
      <c r="E610" s="163" t="b">
        <f>IF(E608=TRUE,TRUE,FALSE)</f>
        <v>0</v>
      </c>
      <c r="F610" s="164"/>
    </row>
    <row r="611">
      <c r="A611" s="162" t="str">
        <f>HYPERLINK("https://github.com/pytorch/pytorch/blob/f99ab991dcd3719ee25dd3377a53ea12e518308e/test/distributed/elastic/utils/util_test.py#L54", "StoreUtilTest")</f>
        <v>StoreUtilTest</v>
      </c>
      <c r="B611" s="92" t="s">
        <v>2261</v>
      </c>
      <c r="C611" s="92" t="s">
        <v>2262</v>
      </c>
      <c r="D611" s="92" t="s">
        <v>64</v>
      </c>
      <c r="E611" s="163" t="b">
        <f>IF(E608=TRUE,TRUE,FALSE)</f>
        <v>0</v>
      </c>
      <c r="F611" s="164"/>
    </row>
    <row r="612">
      <c r="A612" s="162" t="str">
        <f>HYPERLINK("https://github.com/pytorch/pytorch/blob/f99ab991dcd3719ee25dd3377a53ea12e518308e/test/distributed/elastic/utils/util_test.py#L253", "UtilTest")</f>
        <v>UtilTest</v>
      </c>
      <c r="B612" s="92" t="s">
        <v>2261</v>
      </c>
      <c r="C612" s="92" t="s">
        <v>2263</v>
      </c>
      <c r="D612" s="92" t="s">
        <v>64</v>
      </c>
      <c r="E612" s="163" t="b">
        <f>IF(E608=TRUE,TRUE,FALSE)</f>
        <v>0</v>
      </c>
      <c r="F612" s="164"/>
    </row>
    <row r="613">
      <c r="A613" s="162" t="str">
        <f>HYPERLINK("https://github.com/pytorch/pytorch/blob/f99ab991dcd3719ee25dd3377a53ea12e518308e/test/distributed/elastic/utils/distributed_test.py#L53", "DistributedUtilTest")</f>
        <v>DistributedUtilTest</v>
      </c>
      <c r="B613" s="92" t="s">
        <v>2264</v>
      </c>
      <c r="C613" s="92" t="s">
        <v>2265</v>
      </c>
      <c r="D613" s="92" t="s">
        <v>1294</v>
      </c>
      <c r="E613" s="163" t="b">
        <f>IF(E608=TRUE,TRUE,FALSE)</f>
        <v>0</v>
      </c>
      <c r="F613" s="164"/>
    </row>
    <row r="614">
      <c r="A614" s="165" t="s">
        <v>2266</v>
      </c>
      <c r="B614" s="166"/>
      <c r="C614" s="166"/>
      <c r="D614" s="167"/>
      <c r="E614" s="168" t="b">
        <v>0</v>
      </c>
      <c r="F614" s="164"/>
    </row>
    <row r="615">
      <c r="A615" s="162" t="str">
        <f>HYPERLINK("https://github.com/pytorch/pytorch/blob/f99ab991dcd3719ee25dd3377a53ea12e518308e/test/distributed/elastic/agent/server/test/api_test.py#L278", "ConstructEventTest")</f>
        <v>ConstructEventTest</v>
      </c>
      <c r="B615" s="92" t="s">
        <v>2267</v>
      </c>
      <c r="C615" s="92" t="s">
        <v>2268</v>
      </c>
      <c r="D615" s="92" t="s">
        <v>64</v>
      </c>
      <c r="E615" s="163" t="b">
        <f>IF(E614=TRUE,TRUE,FALSE)</f>
        <v>0</v>
      </c>
      <c r="F615" s="164"/>
    </row>
    <row r="616">
      <c r="A616" s="162" t="str">
        <f>HYPERLINK("https://github.com/pytorch/pytorch/blob/f99ab991dcd3719ee25dd3377a53ea12e518308e/test/distributed/elastic/events/lib_test.py#L62", "RdzvEventLibTest")</f>
        <v>RdzvEventLibTest</v>
      </c>
      <c r="B616" s="92" t="s">
        <v>2267</v>
      </c>
      <c r="C616" s="92" t="s">
        <v>2269</v>
      </c>
      <c r="D616" s="92" t="s">
        <v>64</v>
      </c>
      <c r="E616" s="163" t="b">
        <f>IF(E614=TRUE,TRUE,FALSE)</f>
        <v>0</v>
      </c>
      <c r="F616" s="164"/>
    </row>
    <row r="617">
      <c r="A617" s="162" t="str">
        <f>HYPERLINK("https://github.com/pytorch/pytorch/blob/f99ab991dcd3719ee25dd3377a53ea12e518308e/test/distributed/elastic/events/lib_test.py#L26", "EventLibTest")</f>
        <v>EventLibTest</v>
      </c>
      <c r="B617" s="92" t="s">
        <v>2267</v>
      </c>
      <c r="C617" s="92" t="s">
        <v>2270</v>
      </c>
      <c r="D617" s="92" t="s">
        <v>64</v>
      </c>
      <c r="E617" s="163" t="b">
        <f>IF(E614=TRUE,TRUE,FALSE)</f>
        <v>0</v>
      </c>
      <c r="F617" s="164"/>
    </row>
    <row r="618">
      <c r="A618" s="162" t="str">
        <f>HYPERLINK("https://github.com/pytorch/pytorch/blob/f99ab991dcd3719ee25dd3377a53ea12e518308e/test/distributed/elastic/multiprocessing/errors/error_handler_test.py#L20", "GetErrorHandlerTest")</f>
        <v>GetErrorHandlerTest</v>
      </c>
      <c r="B618" s="92" t="s">
        <v>2271</v>
      </c>
      <c r="C618" s="92" t="s">
        <v>2272</v>
      </c>
      <c r="D618" s="92" t="s">
        <v>64</v>
      </c>
      <c r="E618" s="163" t="b">
        <f>IF(E614=TRUE,TRUE,FALSE)</f>
        <v>0</v>
      </c>
      <c r="F618" s="164"/>
    </row>
    <row r="619">
      <c r="A619" s="162" t="str">
        <f>HYPERLINK("https://github.com/pytorch/pytorch/blob/f99ab991dcd3719ee25dd3377a53ea12e518308e/test/distributed/elastic/multiprocessing/errors/error_handler_test.py#L25", "ErrorHandlerTest")</f>
        <v>ErrorHandlerTest</v>
      </c>
      <c r="B619" s="92" t="s">
        <v>2271</v>
      </c>
      <c r="C619" s="92" t="s">
        <v>2273</v>
      </c>
      <c r="D619" s="92" t="s">
        <v>64</v>
      </c>
      <c r="E619" s="163" t="b">
        <f>IF(E614=TRUE,TRUE,FALSE)</f>
        <v>0</v>
      </c>
      <c r="F619" s="164"/>
    </row>
    <row r="620">
      <c r="A620" s="162" t="str">
        <f>HYPERLINK("https://github.com/pytorch/pytorch/blob/f99ab991dcd3719ee25dd3377a53ea12e518308e/test/distributed/elastic/metrics/api_test.py#L50", "MetricsApiTest")</f>
        <v>MetricsApiTest</v>
      </c>
      <c r="B620" s="92" t="s">
        <v>2274</v>
      </c>
      <c r="C620" s="92" t="s">
        <v>2275</v>
      </c>
      <c r="D620" s="92" t="s">
        <v>64</v>
      </c>
      <c r="E620" s="163" t="b">
        <f>IF(E614=TRUE,TRUE,FALSE)</f>
        <v>0</v>
      </c>
      <c r="F620" s="164"/>
    </row>
    <row r="621">
      <c r="A621" s="107" t="s">
        <v>2276</v>
      </c>
      <c r="B621" s="108"/>
      <c r="C621" s="108"/>
      <c r="D621" s="109"/>
      <c r="E621" s="169" t="b">
        <v>1</v>
      </c>
      <c r="F621" s="111"/>
    </row>
    <row r="622">
      <c r="A622" s="112" t="s">
        <v>2277</v>
      </c>
      <c r="B622" s="113"/>
      <c r="C622" s="113"/>
      <c r="D622" s="114"/>
      <c r="E622" s="115" t="b">
        <v>1</v>
      </c>
      <c r="F622" s="116"/>
    </row>
    <row r="623">
      <c r="A623" s="159" t="str">
        <f>HYPERLINK("https://github.com/pytorch/pytorch/blob/f99ab991dcd3719ee25dd3377a53ea12e518308e/test/distributed/pipelining/test_pipe.py#L80", "PipeTests")</f>
        <v>PipeTests</v>
      </c>
      <c r="B623" s="31" t="s">
        <v>2278</v>
      </c>
      <c r="C623" s="31" t="s">
        <v>2279</v>
      </c>
      <c r="D623" s="31" t="s">
        <v>1294</v>
      </c>
      <c r="E623" s="160" t="b">
        <f t="shared" ref="E623:E637" si="1">IF(E622=TRUE,TRUE,FALSE)</f>
        <v>1</v>
      </c>
      <c r="F623" s="161"/>
    </row>
    <row r="624">
      <c r="A624" s="156" t="str">
        <f>HYPERLINK("https://github.com/pytorch/pytorch/blob/f99ab991dcd3719ee25dd3377a53ea12e518308e/test/distributed/pipelining/test_microbatch.py#L25", "MicrobatchTests")</f>
        <v>MicrobatchTests</v>
      </c>
      <c r="B624" s="36" t="s">
        <v>2280</v>
      </c>
      <c r="C624" s="36" t="s">
        <v>2281</v>
      </c>
      <c r="D624" s="36" t="s">
        <v>2282</v>
      </c>
      <c r="E624" s="160" t="b">
        <f t="shared" si="1"/>
        <v>1</v>
      </c>
      <c r="F624" s="161"/>
    </row>
    <row r="625">
      <c r="A625" s="159" t="str">
        <f>HYPERLINK("https://github.com/pytorch/pytorch/blob/f99ab991dcd3719ee25dd3377a53ea12e518308e/test/distributed/pipelining/test_schedule.py#L86", "ScheduleTest")</f>
        <v>ScheduleTest</v>
      </c>
      <c r="B625" s="31" t="s">
        <v>2283</v>
      </c>
      <c r="C625" s="31" t="s">
        <v>2284</v>
      </c>
      <c r="D625" s="31" t="s">
        <v>2285</v>
      </c>
      <c r="E625" s="160" t="b">
        <f t="shared" si="1"/>
        <v>1</v>
      </c>
      <c r="F625" s="161"/>
    </row>
    <row r="626">
      <c r="A626" s="156" t="str">
        <f>HYPERLINK("https://github.com/pytorch/pytorch/blob/f99ab991dcd3719ee25dd3377a53ea12e518308e/test/distributed/pipelining/test_schedule.py#L1140", "ScheduleUtilTests")</f>
        <v>ScheduleUtilTests</v>
      </c>
      <c r="B626" s="36" t="s">
        <v>2283</v>
      </c>
      <c r="C626" s="36" t="s">
        <v>2286</v>
      </c>
      <c r="D626" s="36" t="s">
        <v>64</v>
      </c>
      <c r="E626" s="160" t="b">
        <f t="shared" si="1"/>
        <v>1</v>
      </c>
      <c r="F626" s="161"/>
    </row>
    <row r="627">
      <c r="A627" s="159" t="str">
        <f>HYPERLINK("https://github.com/pytorch/pytorch/blob/f99ab991dcd3719ee25dd3377a53ea12e518308e/test/distributed/pipelining/test_schedule.py#L471", "TestScheduleCsv")</f>
        <v>TestScheduleCsv</v>
      </c>
      <c r="B627" s="31" t="s">
        <v>2283</v>
      </c>
      <c r="C627" s="31" t="s">
        <v>2287</v>
      </c>
      <c r="D627" s="31" t="s">
        <v>64</v>
      </c>
      <c r="E627" s="160" t="b">
        <f t="shared" si="1"/>
        <v>1</v>
      </c>
      <c r="F627" s="161"/>
    </row>
    <row r="628">
      <c r="A628" s="156" t="str">
        <f>HYPERLINK("https://github.com/pytorch/pytorch/blob/f99ab991dcd3719ee25dd3377a53ea12e518308e/test/distributed/pipelining/test_schedule.py#L511", "TestScheduleLowering")</f>
        <v>TestScheduleLowering</v>
      </c>
      <c r="B628" s="36" t="s">
        <v>2283</v>
      </c>
      <c r="C628" s="36" t="s">
        <v>2288</v>
      </c>
      <c r="D628" s="36" t="s">
        <v>2289</v>
      </c>
      <c r="E628" s="160" t="b">
        <f t="shared" si="1"/>
        <v>1</v>
      </c>
      <c r="F628" s="161"/>
    </row>
    <row r="629">
      <c r="A629" s="159" t="str">
        <f>HYPERLINK("https://github.com/pytorch/pytorch/blob/f99ab991dcd3719ee25dd3377a53ea12e518308e/test/distributed/pipelining/test_schedule.py#L305", "TestSchedulePlan")</f>
        <v>TestSchedulePlan</v>
      </c>
      <c r="B629" s="31" t="s">
        <v>2283</v>
      </c>
      <c r="C629" s="31" t="s">
        <v>2290</v>
      </c>
      <c r="D629" s="31" t="s">
        <v>1294</v>
      </c>
      <c r="E629" s="160" t="b">
        <f t="shared" si="1"/>
        <v>1</v>
      </c>
      <c r="F629" s="161"/>
    </row>
    <row r="630">
      <c r="A630" s="156" t="str">
        <f>HYPERLINK("https://github.com/pytorch/pytorch/blob/f99ab991dcd3719ee25dd3377a53ea12e518308e/test/distributed/pipelining/test_schedule.py#L1100", "TestValidateSchedule")</f>
        <v>TestValidateSchedule</v>
      </c>
      <c r="B630" s="36" t="s">
        <v>2283</v>
      </c>
      <c r="C630" s="36" t="s">
        <v>2291</v>
      </c>
      <c r="D630" s="36" t="s">
        <v>64</v>
      </c>
      <c r="E630" s="160" t="b">
        <f t="shared" si="1"/>
        <v>1</v>
      </c>
      <c r="F630" s="161"/>
    </row>
    <row r="631">
      <c r="A631" s="159" t="str">
        <f>HYPERLINK("https://github.com/pytorch/pytorch/blob/f99ab991dcd3719ee25dd3377a53ea12e518308e/test/distributed/pipelining/test_backward.py#L24", "StageBackwardTests")</f>
        <v>StageBackwardTests</v>
      </c>
      <c r="B631" s="31" t="s">
        <v>2292</v>
      </c>
      <c r="C631" s="31" t="s">
        <v>2293</v>
      </c>
      <c r="D631" s="31" t="s">
        <v>2282</v>
      </c>
      <c r="E631" s="160" t="b">
        <f t="shared" si="1"/>
        <v>1</v>
      </c>
      <c r="F631" s="161"/>
    </row>
    <row r="632">
      <c r="A632" s="120" t="str">
        <f>HYPERLINK("https://github.com/pytorch/pytorch/blob/f99ab991dcd3719ee25dd3377a53ea12e518308e/test/distributed/pipelining/test_stage.py#L63", "StageTest")</f>
        <v>StageTest</v>
      </c>
      <c r="B632" s="25" t="s">
        <v>2294</v>
      </c>
      <c r="C632" s="25" t="s">
        <v>2295</v>
      </c>
      <c r="D632" s="25" t="s">
        <v>1598</v>
      </c>
      <c r="E632" s="160" t="b">
        <f t="shared" si="1"/>
        <v>1</v>
      </c>
      <c r="F632" s="161"/>
    </row>
    <row r="633">
      <c r="A633" s="156" t="str">
        <f>HYPERLINK("https://github.com/pytorch/pytorch/blob/f99ab991dcd3719ee25dd3377a53ea12e518308e/test/distributed/pipelining/test_stage.py#L334", "StageNegativeTest")</f>
        <v>StageNegativeTest</v>
      </c>
      <c r="B633" s="36" t="s">
        <v>2294</v>
      </c>
      <c r="C633" s="36" t="s">
        <v>2296</v>
      </c>
      <c r="D633" s="36" t="s">
        <v>1598</v>
      </c>
      <c r="E633" s="160" t="b">
        <f t="shared" si="1"/>
        <v>1</v>
      </c>
      <c r="F633" s="161"/>
    </row>
    <row r="634">
      <c r="A634" s="159" t="str">
        <f>HYPERLINK("https://github.com/pytorch/pytorch/blob/f99ab991dcd3719ee25dd3377a53ea12e518308e/test/distributed/pipelining/test_transformer.py#L37", "TransformerTests")</f>
        <v>TransformerTests</v>
      </c>
      <c r="B634" s="31" t="s">
        <v>2297</v>
      </c>
      <c r="C634" s="31" t="s">
        <v>2298</v>
      </c>
      <c r="D634" s="31" t="s">
        <v>2282</v>
      </c>
      <c r="E634" s="160" t="b">
        <f t="shared" si="1"/>
        <v>1</v>
      </c>
      <c r="F634" s="161"/>
    </row>
    <row r="635">
      <c r="A635" s="156" t="str">
        <f>HYPERLINK("https://github.com/pytorch/pytorch/blob/f99ab991dcd3719ee25dd3377a53ea12e518308e/test/distributed/pipelining/test_unflatten.py#L43", "UnflattenTests")</f>
        <v>UnflattenTests</v>
      </c>
      <c r="B635" s="36" t="s">
        <v>2299</v>
      </c>
      <c r="C635" s="36" t="s">
        <v>2300</v>
      </c>
      <c r="D635" s="36" t="s">
        <v>2282</v>
      </c>
      <c r="E635" s="160" t="b">
        <f t="shared" si="1"/>
        <v>1</v>
      </c>
      <c r="F635" s="161"/>
    </row>
    <row r="636">
      <c r="A636" s="135" t="str">
        <f>HYPERLINK("https://github.com/pytorch/pytorch/blob/f99ab991dcd3719ee25dd3377a53ea12e518308e/test/distributed/pipelining/test_schedule_multiproc.py#L1056", "CustomSchedulesTest")</f>
        <v>CustomSchedulesTest</v>
      </c>
      <c r="B636" s="1" t="s">
        <v>2301</v>
      </c>
      <c r="C636" s="1" t="s">
        <v>2302</v>
      </c>
      <c r="D636" s="1" t="s">
        <v>1598</v>
      </c>
      <c r="E636" s="160" t="b">
        <f t="shared" si="1"/>
        <v>1</v>
      </c>
      <c r="F636" s="161"/>
    </row>
    <row r="637">
      <c r="A637" s="135" t="str">
        <f>HYPERLINK("https://github.com/pytorch/pytorch/blob/f99ab991dcd3719ee25dd3377a53ea12e518308e/test/distributed/pipelining/test_schedule_multiproc.py#L211", "ScheduleTest")</f>
        <v>ScheduleTest</v>
      </c>
      <c r="B637" s="1" t="s">
        <v>2301</v>
      </c>
      <c r="C637" s="1" t="s">
        <v>2303</v>
      </c>
      <c r="D637" s="1" t="s">
        <v>1598</v>
      </c>
      <c r="E637" s="160" t="b">
        <f t="shared" si="1"/>
        <v>1</v>
      </c>
      <c r="F637" s="161"/>
    </row>
    <row r="638">
      <c r="A638" s="107" t="s">
        <v>2304</v>
      </c>
      <c r="B638" s="108"/>
      <c r="C638" s="108"/>
      <c r="D638" s="109"/>
      <c r="E638" s="110" t="b">
        <v>1</v>
      </c>
      <c r="F638" s="111"/>
    </row>
    <row r="639">
      <c r="A639" s="165" t="s">
        <v>2305</v>
      </c>
      <c r="B639" s="166"/>
      <c r="C639" s="166"/>
      <c r="D639" s="167"/>
      <c r="E639" s="168" t="b">
        <v>0</v>
      </c>
      <c r="F639" s="164"/>
    </row>
    <row r="640">
      <c r="A640" s="162" t="str">
        <f>HYPERLINK("https://github.com/pytorch/pytorch/blob/f99ab991dcd3719ee25dd3377a53ea12e518308e/test/distributed/_shard/sharded_tensor/test_sharded_tensor.py#L148", "TestCreateTensorFromParams")</f>
        <v>TestCreateTensorFromParams</v>
      </c>
      <c r="B640" s="92" t="s">
        <v>2306</v>
      </c>
      <c r="C640" s="92" t="s">
        <v>2307</v>
      </c>
      <c r="D640" s="92" t="s">
        <v>64</v>
      </c>
      <c r="E640" s="163" t="b">
        <f>IF(E639=TRUE,TRUE,FALSE)</f>
        <v>0</v>
      </c>
      <c r="F640" s="164"/>
    </row>
    <row r="641">
      <c r="A641" s="162" t="str">
        <f>HYPERLINK("https://github.com/pytorch/pytorch/blob/f99ab991dcd3719ee25dd3377a53ea12e518308e/test/distributed/_shard/sharded_tensor/test_sharded_tensor.py#L3471", "TestCreateTensorNoProcessGroupMode")</f>
        <v>TestCreateTensorNoProcessGroupMode</v>
      </c>
      <c r="B641" s="92" t="s">
        <v>2306</v>
      </c>
      <c r="C641" s="92" t="s">
        <v>2308</v>
      </c>
      <c r="D641" s="92" t="s">
        <v>2309</v>
      </c>
      <c r="E641" s="163" t="b">
        <f>IF(E639=TRUE,TRUE,FALSE)</f>
        <v>0</v>
      </c>
      <c r="F641" s="164"/>
    </row>
    <row r="642">
      <c r="A642" s="162" t="str">
        <f>HYPERLINK("https://github.com/pytorch/pytorch/blob/f99ab991dcd3719ee25dd3377a53ea12e518308e/test/distributed/_shard/sharded_tensor/test_sharded_tensor.py#L462", "TestShardedTensorChunked")</f>
        <v>TestShardedTensorChunked</v>
      </c>
      <c r="B642" s="92" t="s">
        <v>2306</v>
      </c>
      <c r="C642" s="92" t="s">
        <v>2310</v>
      </c>
      <c r="D642" s="92" t="s">
        <v>2311</v>
      </c>
      <c r="E642" s="163" t="b">
        <f>IF(E639=TRUE,TRUE,FALSE)</f>
        <v>0</v>
      </c>
      <c r="F642" s="164"/>
    </row>
    <row r="643">
      <c r="A643" s="162" t="str">
        <f>HYPERLINK("https://github.com/pytorch/pytorch/blob/f99ab991dcd3719ee25dd3377a53ea12e518308e/test/distributed/_shard/sharded_tensor/test_sharded_tensor.py#L3327", "TestShardedTensorCustomOps")</f>
        <v>TestShardedTensorCustomOps</v>
      </c>
      <c r="B643" s="92" t="s">
        <v>2306</v>
      </c>
      <c r="C643" s="92" t="s">
        <v>2312</v>
      </c>
      <c r="D643" s="92" t="s">
        <v>2311</v>
      </c>
      <c r="E643" s="163" t="b">
        <f>IF(E639=TRUE,TRUE,FALSE)</f>
        <v>0</v>
      </c>
      <c r="F643" s="164"/>
    </row>
    <row r="644">
      <c r="A644" s="162" t="str">
        <f>HYPERLINK("https://github.com/pytorch/pytorch/blob/f99ab991dcd3719ee25dd3377a53ea12e518308e/test/distributed/_shard/sharded_tensor/test_sharded_tensor.py#L1409", "TestShardedTensorEnumerable")</f>
        <v>TestShardedTensorEnumerable</v>
      </c>
      <c r="B644" s="92" t="s">
        <v>2306</v>
      </c>
      <c r="C644" s="92" t="s">
        <v>2313</v>
      </c>
      <c r="D644" s="92" t="s">
        <v>2311</v>
      </c>
      <c r="E644" s="163" t="b">
        <f>IF(E639=TRUE,TRUE,FALSE)</f>
        <v>0</v>
      </c>
      <c r="F644" s="164"/>
    </row>
    <row r="645">
      <c r="A645" s="162" t="str">
        <f>HYPERLINK("https://github.com/pytorch/pytorch/blob/f99ab991dcd3719ee25dd3377a53ea12e518308e/test/distributed/_shard/sharded_tensor/test_sharded_tensor.py#L2404", "TestShardedTensorFromLocalShards")</f>
        <v>TestShardedTensorFromLocalShards</v>
      </c>
      <c r="B645" s="92" t="s">
        <v>2306</v>
      </c>
      <c r="C645" s="92" t="s">
        <v>2314</v>
      </c>
      <c r="D645" s="92" t="s">
        <v>2311</v>
      </c>
      <c r="E645" s="163" t="b">
        <f>IF(E639=TRUE,TRUE,FALSE)</f>
        <v>0</v>
      </c>
      <c r="F645" s="164"/>
    </row>
    <row r="646">
      <c r="A646" s="162" t="str">
        <f>HYPERLINK("https://github.com/pytorch/pytorch/blob/f99ab991dcd3719ee25dd3377a53ea12e518308e/test/distributed/_shard/sharded_tensor/test_sharded_tensor.py#L2293", "TestShardedTensorFromLocalTensor")</f>
        <v>TestShardedTensorFromLocalTensor</v>
      </c>
      <c r="B646" s="92" t="s">
        <v>2306</v>
      </c>
      <c r="C646" s="92" t="s">
        <v>2315</v>
      </c>
      <c r="D646" s="92" t="s">
        <v>2311</v>
      </c>
      <c r="E646" s="163" t="b">
        <f>IF(E639=TRUE,TRUE,FALSE)</f>
        <v>0</v>
      </c>
      <c r="F646" s="164"/>
    </row>
    <row r="647">
      <c r="A647" s="162" t="str">
        <f>HYPERLINK("https://github.com/pytorch/pytorch/blob/f99ab991dcd3719ee25dd3377a53ea12e518308e/test/distributed/_shard/sharded_tensor/test_sharded_tensor.py#L75", "TestShardedTensorMetadata")</f>
        <v>TestShardedTensorMetadata</v>
      </c>
      <c r="B647" s="92" t="s">
        <v>2306</v>
      </c>
      <c r="C647" s="92" t="s">
        <v>2316</v>
      </c>
      <c r="D647" s="92" t="s">
        <v>64</v>
      </c>
      <c r="E647" s="163" t="b">
        <f>IF(E639=TRUE,TRUE,FALSE)</f>
        <v>0</v>
      </c>
      <c r="F647" s="164"/>
    </row>
    <row r="648">
      <c r="A648" s="162" t="str">
        <f>HYPERLINK("https://github.com/pytorch/pytorch/blob/f99ab991dcd3719ee25dd3377a53ea12e518308e/test/distributed/_shard/sharded_tensor/test_sharded_tensor.py#L3420", "TestShardedTensorSubGroupInit")</f>
        <v>TestShardedTensorSubGroupInit</v>
      </c>
      <c r="B648" s="92" t="s">
        <v>2306</v>
      </c>
      <c r="C648" s="92" t="s">
        <v>2317</v>
      </c>
      <c r="D648" s="92" t="s">
        <v>2311</v>
      </c>
      <c r="E648" s="163" t="b">
        <f>IF(E639=TRUE,TRUE,FALSE)</f>
        <v>0</v>
      </c>
      <c r="F648" s="164"/>
    </row>
    <row r="649">
      <c r="A649" s="162" t="str">
        <f>HYPERLINK("https://github.com/pytorch/pytorch/blob/f99ab991dcd3719ee25dd3377a53ea12e518308e/test/distributed/_shard/sharded_tensor/test_sharded_tensor.py#L3394", "TestShardMetadata")</f>
        <v>TestShardMetadata</v>
      </c>
      <c r="B649" s="92" t="s">
        <v>2306</v>
      </c>
      <c r="C649" s="92" t="s">
        <v>2318</v>
      </c>
      <c r="D649" s="92" t="s">
        <v>2311</v>
      </c>
      <c r="E649" s="163" t="b">
        <f>IF(E639=TRUE,TRUE,FALSE)</f>
        <v>0</v>
      </c>
      <c r="F649" s="164"/>
    </row>
    <row r="650">
      <c r="A650" s="162" t="str">
        <f>HYPERLINK("https://github.com/pytorch/pytorch/blob/f99ab991dcd3719ee25dd3377a53ea12e518308e/test/distributed/_shard/sharded_tensor/test_sharded_tensor.py#L169", "TestShardParameter")</f>
        <v>TestShardParameter</v>
      </c>
      <c r="B650" s="92" t="s">
        <v>2306</v>
      </c>
      <c r="C650" s="92" t="s">
        <v>2319</v>
      </c>
      <c r="D650" s="92" t="s">
        <v>2311</v>
      </c>
      <c r="E650" s="163" t="b">
        <f>IF(E639=TRUE,TRUE,FALSE)</f>
        <v>0</v>
      </c>
      <c r="F650" s="164"/>
    </row>
    <row r="651">
      <c r="A651" s="162" t="str">
        <f>HYPERLINK("https://github.com/pytorch/pytorch/blob/f99ab991dcd3719ee25dd3377a53ea12e518308e/test/distributed/_shard/sharded_tensor/test_sharded_tensor.py#L261", "TestShardTensor")</f>
        <v>TestShardTensor</v>
      </c>
      <c r="B651" s="92" t="s">
        <v>2306</v>
      </c>
      <c r="C651" s="92" t="s">
        <v>2320</v>
      </c>
      <c r="D651" s="92" t="s">
        <v>2311</v>
      </c>
      <c r="E651" s="163" t="b">
        <f>IF(E639=TRUE,TRUE,FALSE)</f>
        <v>0</v>
      </c>
      <c r="F651" s="164"/>
    </row>
    <row r="652">
      <c r="A652" s="162" t="str">
        <f>HYPERLINK("https://github.com/pytorch/pytorch/blob/f99ab991dcd3719ee25dd3377a53ea12e518308e/test/distributed/_shard/sharded_tensor/test_sharded_tensor_reshard.py#L28", "TestReshard")</f>
        <v>TestReshard</v>
      </c>
      <c r="B652" s="92" t="s">
        <v>2321</v>
      </c>
      <c r="C652" s="92" t="s">
        <v>2322</v>
      </c>
      <c r="D652" s="92" t="s">
        <v>2311</v>
      </c>
      <c r="E652" s="163" t="b">
        <f>IF(E639=TRUE,TRUE,FALSE)</f>
        <v>0</v>
      </c>
      <c r="F652" s="164"/>
    </row>
    <row r="653">
      <c r="A653" s="165" t="s">
        <v>2323</v>
      </c>
      <c r="B653" s="166"/>
      <c r="C653" s="166"/>
      <c r="D653" s="167"/>
      <c r="E653" s="168" t="b">
        <v>0</v>
      </c>
      <c r="F653" s="164"/>
    </row>
    <row r="654">
      <c r="A654" s="162" t="str">
        <f>HYPERLINK("https://github.com/pytorch/pytorch/blob/f99ab991dcd3719ee25dd3377a53ea12e518308e/test/distributed/_shard/sharded_tensor/ops/test_binary_cmp.py#L26", "TestShardedTensorBinaryOps")</f>
        <v>TestShardedTensorBinaryOps</v>
      </c>
      <c r="B654" s="92" t="s">
        <v>2324</v>
      </c>
      <c r="C654" s="92" t="s">
        <v>2325</v>
      </c>
      <c r="D654" s="92" t="s">
        <v>1992</v>
      </c>
      <c r="E654" s="163" t="b">
        <f>IF(E653=TRUE,TRUE,FALSE)</f>
        <v>0</v>
      </c>
      <c r="F654" s="164"/>
    </row>
    <row r="655">
      <c r="A655" s="162" t="str">
        <f>HYPERLINK("https://github.com/pytorch/pytorch/blob/f99ab991dcd3719ee25dd3377a53ea12e518308e/test/distributed/_shard/sharded_tensor/ops/test_init.py#L24", "TestShardedTensorNNInit")</f>
        <v>TestShardedTensorNNInit</v>
      </c>
      <c r="B655" s="92" t="s">
        <v>2326</v>
      </c>
      <c r="C655" s="92" t="s">
        <v>2327</v>
      </c>
      <c r="D655" s="92" t="s">
        <v>1992</v>
      </c>
      <c r="E655" s="163" t="b">
        <f>IF(E653=TRUE,TRUE,FALSE)</f>
        <v>0</v>
      </c>
      <c r="F655" s="164"/>
    </row>
    <row r="656">
      <c r="A656" s="162" t="str">
        <f>HYPERLINK("https://github.com/pytorch/pytorch/blob/f99ab991dcd3719ee25dd3377a53ea12e518308e/test/distributed/_shard/sharded_tensor/ops/test_tensor_ops.py#L17", "TestTensorOps")</f>
        <v>TestTensorOps</v>
      </c>
      <c r="B656" s="92" t="s">
        <v>2328</v>
      </c>
      <c r="C656" s="92" t="s">
        <v>2329</v>
      </c>
      <c r="D656" s="92" t="s">
        <v>1992</v>
      </c>
      <c r="E656" s="163" t="b">
        <f>IF(E653=TRUE,TRUE,FALSE)</f>
        <v>0</v>
      </c>
      <c r="F656" s="164"/>
    </row>
    <row r="657">
      <c r="A657" s="162" t="str">
        <f>HYPERLINK("https://github.com/pytorch/pytorch/blob/f99ab991dcd3719ee25dd3377a53ea12e518308e/test/distributed/_shard/sharded_tensor/ops/test_embedding.py#L30", "TestShardedEmbedding")</f>
        <v>TestShardedEmbedding</v>
      </c>
      <c r="B657" s="92" t="s">
        <v>2330</v>
      </c>
      <c r="C657" s="92" t="s">
        <v>2331</v>
      </c>
      <c r="D657" s="92" t="s">
        <v>1992</v>
      </c>
      <c r="E657" s="163" t="b">
        <f>IF(E653=TRUE,TRUE,FALSE)</f>
        <v>0</v>
      </c>
      <c r="F657" s="164"/>
    </row>
    <row r="658">
      <c r="A658" s="162" t="str">
        <f>HYPERLINK("https://github.com/pytorch/pytorch/blob/f99ab991dcd3719ee25dd3377a53ea12e518308e/test/distributed/_shard/sharded_tensor/ops/test_embedding_bag.py#L30", "TestShardedEmbeddingBag")</f>
        <v>TestShardedEmbeddingBag</v>
      </c>
      <c r="B658" s="92" t="s">
        <v>2332</v>
      </c>
      <c r="C658" s="92" t="s">
        <v>2333</v>
      </c>
      <c r="D658" s="92" t="s">
        <v>1992</v>
      </c>
      <c r="E658" s="163" t="b">
        <f>IF(E653=TRUE,TRUE,FALSE)</f>
        <v>0</v>
      </c>
      <c r="F658" s="164"/>
    </row>
    <row r="659">
      <c r="A659" s="165" t="s">
        <v>2334</v>
      </c>
      <c r="B659" s="166"/>
      <c r="C659" s="166"/>
      <c r="D659" s="167"/>
      <c r="E659" s="168" t="b">
        <v>0</v>
      </c>
      <c r="F659" s="164"/>
    </row>
    <row r="660">
      <c r="A660" s="162" t="str">
        <f>HYPERLINK("https://github.com/pytorch/pytorch/blob/f99ab991dcd3719ee25dd3377a53ea12e518308e/test/distributed/_shard/sharding_spec/test_sharding_spec.py#L44", "TestShardingSpec")</f>
        <v>TestShardingSpec</v>
      </c>
      <c r="B660" s="92" t="s">
        <v>2335</v>
      </c>
      <c r="C660" s="92" t="s">
        <v>2336</v>
      </c>
      <c r="D660" s="92" t="s">
        <v>64</v>
      </c>
      <c r="E660" s="163" t="b">
        <f>IF(E659=TRUE,TRUE,FALSE)</f>
        <v>0</v>
      </c>
      <c r="F660" s="164"/>
    </row>
    <row r="661">
      <c r="A661" s="162" t="str">
        <f>HYPERLINK("https://github.com/pytorch/pytorch/blob/f99ab991dcd3719ee25dd3377a53ea12e518308e/test/distributed/_shard/sharding_spec/test_sharding_spec.py#L609", "TestCustomShardingSpec")</f>
        <v>TestCustomShardingSpec</v>
      </c>
      <c r="B661" s="92" t="s">
        <v>2335</v>
      </c>
      <c r="C661" s="92" t="s">
        <v>2337</v>
      </c>
      <c r="D661" s="92" t="s">
        <v>1992</v>
      </c>
      <c r="E661" s="163" t="b">
        <f>IF(E659=TRUE,TRUE,FALSE)</f>
        <v>0</v>
      </c>
      <c r="F661" s="164"/>
    </row>
    <row r="662">
      <c r="A662" s="162" t="str">
        <f>HYPERLINK("https://github.com/pytorch/pytorch/blob/f99ab991dcd3719ee25dd3377a53ea12e518308e/test/distributed/_shard/sharding_plan/test_sharding_plan.py#L51", "TestShardingPlan")</f>
        <v>TestShardingPlan</v>
      </c>
      <c r="B662" s="92" t="s">
        <v>2338</v>
      </c>
      <c r="C662" s="92" t="s">
        <v>2339</v>
      </c>
      <c r="D662" s="92" t="s">
        <v>1992</v>
      </c>
      <c r="E662" s="163" t="b">
        <f>IF(E659=TRUE,TRUE,FALSE)</f>
        <v>0</v>
      </c>
      <c r="F662" s="164"/>
    </row>
    <row r="663">
      <c r="A663" s="162" t="str">
        <f>HYPERLINK("https://github.com/pytorch/pytorch/blob/f99ab991dcd3719ee25dd3377a53ea12e518308e/test/distributed/_shard/test_sharder.py#L97", "TestCustomSharder")</f>
        <v>TestCustomSharder</v>
      </c>
      <c r="B663" s="92" t="s">
        <v>2340</v>
      </c>
      <c r="C663" s="92" t="s">
        <v>2341</v>
      </c>
      <c r="D663" s="92" t="s">
        <v>1992</v>
      </c>
      <c r="E663" s="163" t="b">
        <f>IF(E659=TRUE,TRUE,FALSE)</f>
        <v>0</v>
      </c>
      <c r="F663" s="164"/>
    </row>
    <row r="664">
      <c r="A664" s="162" t="str">
        <f>HYPERLINK("https://github.com/pytorch/pytorch/blob/f99ab991dcd3719ee25dd3377a53ea12e518308e/test/distributed/_shard/sharded_tensor/test_logger.py#L9", "ShardingSpecLoggerTest")</f>
        <v>ShardingSpecLoggerTest</v>
      </c>
      <c r="B664" s="92" t="s">
        <v>2342</v>
      </c>
      <c r="C664" s="92" t="s">
        <v>2343</v>
      </c>
      <c r="D664" s="92" t="s">
        <v>64</v>
      </c>
      <c r="E664" s="163" t="b">
        <f>IF(E659=TRUE,TRUE,FALSE)</f>
        <v>0</v>
      </c>
      <c r="F664" s="164"/>
    </row>
    <row r="665">
      <c r="A665" s="162" t="str">
        <f>HYPERLINK("https://github.com/pytorch/pytorch/blob/f99ab991dcd3719ee25dd3377a53ea12e518308e/test/distributed/_shard/sharded_optim/test_sharded_optim.py#L81", "TestShardedOptimizer")</f>
        <v>TestShardedOptimizer</v>
      </c>
      <c r="B665" s="92" t="s">
        <v>2344</v>
      </c>
      <c r="C665" s="92" t="s">
        <v>2345</v>
      </c>
      <c r="D665" s="92" t="s">
        <v>1992</v>
      </c>
      <c r="E665" s="163" t="b">
        <f>IF(E659=TRUE,TRUE,FALSE)</f>
        <v>0</v>
      </c>
      <c r="F665" s="164"/>
    </row>
    <row r="666">
      <c r="A666" s="170" t="s">
        <v>2346</v>
      </c>
      <c r="B666" s="144"/>
      <c r="C666" s="144"/>
      <c r="D666" s="145"/>
      <c r="E666" s="124"/>
      <c r="F666" s="124"/>
    </row>
    <row r="667">
      <c r="A667" s="143" t="s">
        <v>2347</v>
      </c>
      <c r="B667" s="144"/>
      <c r="C667" s="144"/>
      <c r="D667" s="145"/>
      <c r="E667" s="146" t="b">
        <v>0</v>
      </c>
      <c r="F667" s="124"/>
    </row>
    <row r="668">
      <c r="A668" s="122" t="str">
        <f>HYPERLINK("https://github.com/pytorch/pytorch/blob/f99ab991dcd3719ee25dd3377a53ea12e518308e/test/distributed/launcher/launch_test.py#L27", "LaunchTest")</f>
        <v>LaunchTest</v>
      </c>
      <c r="B668" s="91" t="s">
        <v>2348</v>
      </c>
      <c r="C668" s="91" t="s">
        <v>2349</v>
      </c>
      <c r="D668" s="91" t="s">
        <v>1294</v>
      </c>
      <c r="E668" s="123" t="b">
        <f>IF(E667=TRUE,TRUE,FALSE)</f>
        <v>0</v>
      </c>
      <c r="F668" s="124"/>
    </row>
    <row r="669">
      <c r="A669" s="124" t="s">
        <v>2350</v>
      </c>
      <c r="B669" s="91" t="s">
        <v>2351</v>
      </c>
      <c r="C669" s="91" t="s">
        <v>2352</v>
      </c>
      <c r="D669" s="91" t="s">
        <v>64</v>
      </c>
      <c r="E669" s="123" t="b">
        <f>IF(E667=TRUE,TRUE,FALSE)</f>
        <v>0</v>
      </c>
      <c r="F669" s="124"/>
    </row>
    <row r="670">
      <c r="A670" s="124" t="s">
        <v>2353</v>
      </c>
      <c r="B670" s="91" t="s">
        <v>2354</v>
      </c>
      <c r="C670" s="91" t="s">
        <v>2355</v>
      </c>
      <c r="D670" s="91" t="s">
        <v>64</v>
      </c>
      <c r="E670" s="123" t="b">
        <f>IF(E667=TRUE,TRUE,FALSE)</f>
        <v>0</v>
      </c>
      <c r="F670" s="124"/>
    </row>
    <row r="671">
      <c r="A671" s="143" t="s">
        <v>2356</v>
      </c>
      <c r="B671" s="144"/>
      <c r="C671" s="144"/>
      <c r="D671" s="145"/>
      <c r="E671" s="146" t="b">
        <v>0</v>
      </c>
      <c r="F671" s="124"/>
    </row>
    <row r="672">
      <c r="A672" s="122" t="str">
        <f>HYPERLINK("https://github.com/pytorch/pytorch/blob/f99ab991dcd3719ee25dd3377a53ea12e518308e/test/distributed/argparse_util_test.py#L16", "ArgParseUtilTest")</f>
        <v>ArgParseUtilTest</v>
      </c>
      <c r="B672" s="91" t="s">
        <v>2357</v>
      </c>
      <c r="C672" s="91" t="s">
        <v>2358</v>
      </c>
      <c r="D672" s="91" t="s">
        <v>64</v>
      </c>
      <c r="E672" s="123" t="b">
        <f>IF(E671=TRUE,TRUE,FALSE)</f>
        <v>0</v>
      </c>
      <c r="F672" s="124"/>
    </row>
    <row r="673">
      <c r="A673" s="112" t="s">
        <v>2359</v>
      </c>
      <c r="B673" s="113"/>
      <c r="C673" s="113"/>
      <c r="D673" s="114"/>
      <c r="E673" s="115" t="b">
        <v>1</v>
      </c>
      <c r="F673" s="116"/>
    </row>
    <row r="674">
      <c r="A674" s="117" t="str">
        <f>HYPERLINK("https://github.com/pytorch/pytorch/blob/f99ab991dcd3719ee25dd3377a53ea12e518308e/test/distributed/test_aten_comm_compute_reordering.py#L97", "TestComputeCommReorderingMultiProc")</f>
        <v>TestComputeCommReorderingMultiProc</v>
      </c>
      <c r="B674" s="30" t="s">
        <v>1522</v>
      </c>
      <c r="C674" s="30" t="s">
        <v>2360</v>
      </c>
      <c r="D674" s="30" t="s">
        <v>1524</v>
      </c>
      <c r="E674" s="118" t="b">
        <f>IF(E673=TRUE,TRUE,FALSE)</f>
        <v>1</v>
      </c>
      <c r="F674" s="134"/>
    </row>
    <row r="675">
      <c r="A675" s="120" t="str">
        <f>HYPERLINK("https://github.com/pytorch/pytorch/blob/f99ab991dcd3719ee25dd3377a53ea12e518308e/test/distributed/test_aten_comm_compute_reordering.py#L525", "TestComputeCommReorderingBucketing")</f>
        <v>TestComputeCommReorderingBucketing</v>
      </c>
      <c r="B675" s="25" t="s">
        <v>1522</v>
      </c>
      <c r="C675" s="25" t="s">
        <v>2361</v>
      </c>
      <c r="D675" s="25" t="s">
        <v>1524</v>
      </c>
      <c r="E675" s="121" t="b">
        <f>IF(E673=TRUE,TRUE,FALSE)</f>
        <v>1</v>
      </c>
      <c r="F675" s="133"/>
    </row>
    <row r="676">
      <c r="A676" s="117" t="str">
        <f>HYPERLINK("https://github.com/pytorch/pytorch/blob/f99ab991dcd3719ee25dd3377a53ea12e518308e/test/distributed/test_aten_comm_compute_reordering.py#L1301", "TestManualOverlapBucketing")</f>
        <v>TestManualOverlapBucketing</v>
      </c>
      <c r="B676" s="30" t="s">
        <v>1522</v>
      </c>
      <c r="C676" s="30" t="s">
        <v>2362</v>
      </c>
      <c r="D676" s="30" t="s">
        <v>1524</v>
      </c>
      <c r="E676" s="118" t="b">
        <f>IF(E673=TRUE,TRUE,FALSE)</f>
        <v>1</v>
      </c>
      <c r="F676" s="134"/>
    </row>
    <row r="677">
      <c r="A677" s="143" t="s">
        <v>2363</v>
      </c>
      <c r="B677" s="144"/>
      <c r="C677" s="144"/>
      <c r="D677" s="145"/>
      <c r="E677" s="146" t="b">
        <v>0</v>
      </c>
      <c r="F677" s="124"/>
    </row>
    <row r="678">
      <c r="A678" s="122" t="str">
        <f>HYPERLINK("https://github.com/pytorch/pytorch/blob/f99ab991dcd3719ee25dd3377a53ea12e518308e/test/distributed/test_backends.py#L15", "TestMiscCollectiveUtils")</f>
        <v>TestMiscCollectiveUtils</v>
      </c>
      <c r="B678" s="91" t="s">
        <v>1447</v>
      </c>
      <c r="C678" s="91" t="s">
        <v>2364</v>
      </c>
      <c r="D678" s="91" t="s">
        <v>1449</v>
      </c>
      <c r="E678" s="123" t="b">
        <f>IF(E677=TRUE,TRUE,FALSE)</f>
        <v>0</v>
      </c>
      <c r="F678" s="124"/>
    </row>
    <row r="679">
      <c r="A679" s="107" t="s">
        <v>2365</v>
      </c>
      <c r="B679" s="108"/>
      <c r="C679" s="108"/>
      <c r="D679" s="109"/>
      <c r="E679" s="110" t="b">
        <v>1</v>
      </c>
      <c r="F679" s="111"/>
    </row>
    <row r="680">
      <c r="A680" s="112" t="s">
        <v>2366</v>
      </c>
      <c r="B680" s="113"/>
      <c r="C680" s="113"/>
      <c r="D680" s="114"/>
      <c r="E680" s="115" t="b">
        <v>1</v>
      </c>
      <c r="F680" s="116"/>
    </row>
    <row r="681">
      <c r="A681" s="134" t="s">
        <v>2367</v>
      </c>
      <c r="B681" s="30" t="s">
        <v>2368</v>
      </c>
      <c r="C681" s="30" t="s">
        <v>2369</v>
      </c>
      <c r="D681" s="30" t="s">
        <v>2370</v>
      </c>
      <c r="E681" s="118" t="b">
        <f>IF(E680=TRUE,TRUE,FALSE)</f>
        <v>1</v>
      </c>
      <c r="F681" s="134"/>
    </row>
    <row r="682">
      <c r="A682" s="133" t="s">
        <v>2371</v>
      </c>
      <c r="B682" s="25" t="s">
        <v>2368</v>
      </c>
      <c r="C682" s="25" t="s">
        <v>2372</v>
      </c>
      <c r="D682" s="25" t="s">
        <v>2370</v>
      </c>
      <c r="E682" s="121" t="b">
        <f>IF(E680=TRUE,TRUE,FALSE)</f>
        <v>1</v>
      </c>
      <c r="F682" s="133"/>
    </row>
    <row r="683">
      <c r="A683" s="134" t="s">
        <v>2373</v>
      </c>
      <c r="B683" s="30" t="s">
        <v>2368</v>
      </c>
      <c r="C683" s="30" t="s">
        <v>2374</v>
      </c>
      <c r="D683" s="30" t="s">
        <v>2370</v>
      </c>
      <c r="E683" s="118" t="b">
        <f>IF(E680=TRUE,TRUE,FALSE)</f>
        <v>1</v>
      </c>
      <c r="F683" s="134"/>
    </row>
    <row r="684">
      <c r="A684" s="120" t="str">
        <f>HYPERLINK("https://github.com/pytorch/pytorch/blob/f99ab991dcd3719ee25dd3377a53ea12e518308e/test/distributed/optim/test_zero_redundancy_optimizer.py#L85", "TestZeroRedundancyOptimizerSingleRank")</f>
        <v>TestZeroRedundancyOptimizerSingleRank</v>
      </c>
      <c r="B684" s="25" t="s">
        <v>2368</v>
      </c>
      <c r="C684" s="25" t="s">
        <v>2375</v>
      </c>
      <c r="D684" s="25" t="s">
        <v>2370</v>
      </c>
      <c r="E684" s="121" t="b">
        <f>IF(E680=TRUE,TRUE,FALSE)</f>
        <v>1</v>
      </c>
      <c r="F684" s="133"/>
    </row>
    <row r="685">
      <c r="A685" s="117" t="str">
        <f>HYPERLINK("https://github.com/pytorch/pytorch/blob/f99ab991dcd3719ee25dd3377a53ea12e518308e/test/distributed/optim/test_zero_redundancy_optimizer.py#L338", "TestZeroRedundancyOptimizerDistributed")</f>
        <v>TestZeroRedundancyOptimizerDistributed</v>
      </c>
      <c r="B685" s="30" t="s">
        <v>2368</v>
      </c>
      <c r="C685" s="30" t="s">
        <v>2376</v>
      </c>
      <c r="D685" s="30" t="s">
        <v>2370</v>
      </c>
      <c r="E685" s="118" t="b">
        <f>IF(E680=TRUE,TRUE,FALSE)</f>
        <v>1</v>
      </c>
      <c r="F685" s="134"/>
    </row>
    <row r="686">
      <c r="A686" s="107" t="s">
        <v>2377</v>
      </c>
      <c r="B686" s="108"/>
      <c r="C686" s="108"/>
      <c r="D686" s="109"/>
      <c r="E686" s="110" t="b">
        <v>1</v>
      </c>
      <c r="F686" s="111"/>
    </row>
    <row r="687">
      <c r="A687" s="112" t="s">
        <v>2378</v>
      </c>
      <c r="B687" s="113"/>
      <c r="C687" s="113"/>
      <c r="D687" s="114"/>
      <c r="E687" s="115" t="b">
        <v>1</v>
      </c>
      <c r="F687" s="116"/>
    </row>
    <row r="688">
      <c r="A688" s="120" t="str">
        <f>HYPERLINK("https://github.com/pytorch/pytorch/blob/f99ab991dcd3719ee25dd3377a53ea12e518308e/test/distributed/test_data_parallel.py#L41", "TestDataParallel")</f>
        <v>TestDataParallel</v>
      </c>
      <c r="B688" s="25" t="s">
        <v>2379</v>
      </c>
      <c r="C688" s="25" t="s">
        <v>2380</v>
      </c>
      <c r="D688" s="25" t="s">
        <v>2381</v>
      </c>
      <c r="E688" s="121" t="b">
        <f>IF(E687=TRUE,TRUE,FALSE)</f>
        <v>1</v>
      </c>
      <c r="F688" s="133"/>
    </row>
    <row r="689">
      <c r="A689" s="117" t="str">
        <f>HYPERLINK("https://github.com/pytorch/pytorch/blob/f99ab991dcd3719ee25dd3377a53ea12e518308e/test/distributed/test_data_parallel.py#L984", "TestDataParallelDeviceType")</f>
        <v>TestDataParallelDeviceType</v>
      </c>
      <c r="B689" s="30" t="s">
        <v>2379</v>
      </c>
      <c r="C689" s="30" t="s">
        <v>2382</v>
      </c>
      <c r="D689" s="30" t="s">
        <v>2383</v>
      </c>
      <c r="E689" s="118" t="b">
        <f>IF(E687=TRUE,TRUE,FALSE)</f>
        <v>1</v>
      </c>
      <c r="F689" s="134"/>
    </row>
    <row r="690">
      <c r="A690" s="112" t="s">
        <v>2384</v>
      </c>
      <c r="B690" s="113"/>
      <c r="C690" s="113"/>
      <c r="D690" s="114"/>
      <c r="E690" s="115" t="b">
        <v>1</v>
      </c>
      <c r="F690" s="116"/>
    </row>
    <row r="691">
      <c r="A691" s="133" t="s">
        <v>2385</v>
      </c>
      <c r="B691" s="25" t="s">
        <v>2386</v>
      </c>
      <c r="C691" s="25" t="s">
        <v>2387</v>
      </c>
      <c r="D691" s="25" t="s">
        <v>64</v>
      </c>
      <c r="E691" s="121" t="b">
        <f>IF(E690=TRUE,TRUE,FALSE)</f>
        <v>1</v>
      </c>
      <c r="F691" s="133"/>
    </row>
    <row r="692">
      <c r="A692" s="134" t="s">
        <v>2388</v>
      </c>
      <c r="B692" s="30" t="s">
        <v>2389</v>
      </c>
      <c r="C692" s="30" t="s">
        <v>2390</v>
      </c>
      <c r="D692" s="30" t="s">
        <v>64</v>
      </c>
      <c r="E692" s="118" t="b">
        <f>IF(E690=TRUE,TRUE,FALSE)</f>
        <v>1</v>
      </c>
      <c r="F692" s="134"/>
    </row>
    <row r="693">
      <c r="A693" s="112" t="s">
        <v>2391</v>
      </c>
      <c r="B693" s="113"/>
      <c r="C693" s="113"/>
      <c r="D693" s="114"/>
      <c r="E693" s="115" t="b">
        <v>1</v>
      </c>
      <c r="F693" s="116"/>
    </row>
    <row r="694">
      <c r="A694" s="133" t="s">
        <v>2392</v>
      </c>
      <c r="B694" s="25" t="s">
        <v>2393</v>
      </c>
      <c r="C694" s="25" t="s">
        <v>2394</v>
      </c>
      <c r="D694" s="25" t="s">
        <v>2395</v>
      </c>
      <c r="E694" s="121" t="b">
        <f>IF(E693=TRUE,TRUE,FALSE)</f>
        <v>1</v>
      </c>
      <c r="F694" s="133"/>
    </row>
    <row r="695">
      <c r="A695" s="134" t="s">
        <v>2396</v>
      </c>
      <c r="B695" s="30" t="s">
        <v>2397</v>
      </c>
      <c r="C695" s="30" t="s">
        <v>2398</v>
      </c>
      <c r="D695" s="30" t="s">
        <v>565</v>
      </c>
      <c r="E695" s="118" t="b">
        <f>IF(E693=TRUE,TRUE,FALSE)</f>
        <v>1</v>
      </c>
      <c r="F695" s="134"/>
    </row>
    <row r="696">
      <c r="A696" s="133" t="s">
        <v>2399</v>
      </c>
      <c r="B696" s="25" t="s">
        <v>2400</v>
      </c>
      <c r="C696" s="25" t="s">
        <v>2401</v>
      </c>
      <c r="D696" s="25" t="s">
        <v>565</v>
      </c>
      <c r="E696" s="121" t="b">
        <f>IF(E693=TRUE,TRUE,FALSE)</f>
        <v>1</v>
      </c>
      <c r="F696" s="133"/>
    </row>
    <row r="697">
      <c r="A697" s="112" t="s">
        <v>2402</v>
      </c>
      <c r="B697" s="113"/>
      <c r="C697" s="113"/>
      <c r="D697" s="114"/>
      <c r="E697" s="115" t="b">
        <v>1</v>
      </c>
      <c r="F697" s="116"/>
    </row>
    <row r="698">
      <c r="A698" s="134" t="s">
        <v>2403</v>
      </c>
      <c r="B698" s="30" t="s">
        <v>2404</v>
      </c>
      <c r="C698" s="30" t="s">
        <v>2405</v>
      </c>
      <c r="D698" s="30" t="s">
        <v>64</v>
      </c>
      <c r="E698" s="118" t="b">
        <f>IF(E697=TRUE,TRUE,FALSE)</f>
        <v>1</v>
      </c>
      <c r="F698" s="134"/>
    </row>
    <row r="699">
      <c r="A699" s="133" t="s">
        <v>2406</v>
      </c>
      <c r="B699" s="25" t="s">
        <v>2407</v>
      </c>
      <c r="C699" s="25" t="s">
        <v>2408</v>
      </c>
      <c r="D699" s="25" t="s">
        <v>64</v>
      </c>
      <c r="E699" s="121" t="b">
        <f>IF(E697=TRUE,TRUE,FALSE)</f>
        <v>1</v>
      </c>
      <c r="F699" s="133"/>
    </row>
    <row r="700">
      <c r="A700" s="134" t="s">
        <v>2409</v>
      </c>
      <c r="B700" s="30" t="s">
        <v>2410</v>
      </c>
      <c r="C700" s="30" t="s">
        <v>2411</v>
      </c>
      <c r="D700" s="30" t="s">
        <v>64</v>
      </c>
      <c r="E700" s="118" t="b">
        <f>IF(E697=TRUE,TRUE,FALSE)</f>
        <v>1</v>
      </c>
      <c r="F700" s="134"/>
    </row>
    <row r="701">
      <c r="A701" s="143" t="s">
        <v>2412</v>
      </c>
      <c r="B701" s="144"/>
      <c r="C701" s="144"/>
      <c r="D701" s="145"/>
      <c r="E701" s="146" t="b">
        <v>0</v>
      </c>
      <c r="F701" s="124"/>
    </row>
    <row r="702">
      <c r="A702" s="124" t="s">
        <v>2413</v>
      </c>
      <c r="B702" s="91" t="s">
        <v>2414</v>
      </c>
      <c r="C702" s="91" t="s">
        <v>2415</v>
      </c>
      <c r="D702" s="91" t="s">
        <v>1294</v>
      </c>
      <c r="E702" s="123" t="b">
        <f>IF(E701=TRUE,TRUE,FALSE)</f>
        <v>0</v>
      </c>
      <c r="F702" s="124"/>
    </row>
    <row r="703">
      <c r="A703" s="124" t="s">
        <v>2416</v>
      </c>
      <c r="B703" s="91" t="s">
        <v>2417</v>
      </c>
      <c r="C703" s="91" t="s">
        <v>2418</v>
      </c>
      <c r="D703" s="91" t="s">
        <v>1294</v>
      </c>
      <c r="E703" s="123" t="b">
        <f>IF(E701=TRUE,TRUE,FALSE)</f>
        <v>0</v>
      </c>
      <c r="F703" s="124"/>
    </row>
    <row r="704">
      <c r="A704" s="124" t="s">
        <v>2419</v>
      </c>
      <c r="B704" s="91" t="s">
        <v>2420</v>
      </c>
      <c r="C704" s="91" t="s">
        <v>2421</v>
      </c>
      <c r="D704" s="91" t="s">
        <v>1294</v>
      </c>
      <c r="E704" s="123" t="b">
        <f>IF(E701=TRUE,TRUE,FALSE)</f>
        <v>0</v>
      </c>
      <c r="F704" s="124"/>
    </row>
    <row r="705">
      <c r="A705" s="124" t="s">
        <v>2422</v>
      </c>
      <c r="B705" s="91" t="s">
        <v>2423</v>
      </c>
      <c r="C705" s="91" t="s">
        <v>2424</v>
      </c>
      <c r="D705" s="91" t="s">
        <v>1294</v>
      </c>
      <c r="E705" s="123" t="b">
        <f>IF(E701=TRUE,TRUE,FALSE)</f>
        <v>0</v>
      </c>
      <c r="F705" s="124"/>
    </row>
    <row r="706">
      <c r="A706" s="124" t="s">
        <v>2425</v>
      </c>
      <c r="B706" s="91" t="s">
        <v>2426</v>
      </c>
      <c r="C706" s="91" t="s">
        <v>2427</v>
      </c>
      <c r="D706" s="91" t="s">
        <v>1294</v>
      </c>
      <c r="E706" s="123" t="b">
        <f>IF(E701=TRUE,TRUE,FALSE)</f>
        <v>0</v>
      </c>
      <c r="F706" s="124"/>
    </row>
    <row r="707">
      <c r="A707" s="112" t="s">
        <v>2428</v>
      </c>
      <c r="B707" s="113"/>
      <c r="C707" s="113"/>
      <c r="D707" s="114"/>
      <c r="E707" s="115" t="b">
        <v>1</v>
      </c>
      <c r="F707" s="116"/>
    </row>
    <row r="708">
      <c r="A708" s="134" t="s">
        <v>2429</v>
      </c>
      <c r="B708" s="30" t="s">
        <v>1516</v>
      </c>
      <c r="C708" s="30" t="s">
        <v>2430</v>
      </c>
      <c r="D708" s="30" t="s">
        <v>2431</v>
      </c>
      <c r="E708" s="118" t="b">
        <f>IF(E707=TRUE,TRUE,FALSE)</f>
        <v>1</v>
      </c>
      <c r="F708" s="134"/>
    </row>
    <row r="709">
      <c r="A709" s="133" t="s">
        <v>2432</v>
      </c>
      <c r="B709" s="25" t="s">
        <v>2433</v>
      </c>
      <c r="C709" s="25" t="s">
        <v>2434</v>
      </c>
      <c r="D709" s="25" t="s">
        <v>565</v>
      </c>
      <c r="E709" s="121" t="b">
        <f>IF(E707=TRUE,TRUE,FALSE)</f>
        <v>1</v>
      </c>
      <c r="F709" s="133"/>
    </row>
    <row r="710">
      <c r="A710" s="112" t="s">
        <v>2435</v>
      </c>
      <c r="B710" s="113"/>
      <c r="C710" s="113"/>
      <c r="D710" s="114"/>
      <c r="E710" s="115" t="b">
        <v>1</v>
      </c>
      <c r="F710" s="116"/>
    </row>
    <row r="711">
      <c r="A711" s="134" t="s">
        <v>2436</v>
      </c>
      <c r="B711" s="30" t="s">
        <v>2437</v>
      </c>
      <c r="C711" s="30" t="s">
        <v>2438</v>
      </c>
      <c r="D711" s="30" t="s">
        <v>565</v>
      </c>
      <c r="E711" s="118" t="b">
        <f>IF(E710=TRUE,TRUE,FALSE)</f>
        <v>1</v>
      </c>
      <c r="F711" s="134"/>
    </row>
    <row r="712">
      <c r="A712" s="133" t="s">
        <v>2439</v>
      </c>
      <c r="B712" s="25" t="s">
        <v>2440</v>
      </c>
      <c r="C712" s="25" t="s">
        <v>2441</v>
      </c>
      <c r="D712" s="25" t="s">
        <v>2442</v>
      </c>
      <c r="E712" s="121" t="b">
        <f>IF(E710=TRUE,TRUE,FALSE)</f>
        <v>1</v>
      </c>
      <c r="F712" s="133"/>
    </row>
    <row r="713">
      <c r="A713" s="143" t="s">
        <v>2443</v>
      </c>
      <c r="B713" s="144"/>
      <c r="C713" s="144"/>
      <c r="D713" s="145"/>
      <c r="E713" s="146" t="b">
        <v>0</v>
      </c>
      <c r="F713" s="124"/>
    </row>
    <row r="714">
      <c r="A714" s="124" t="s">
        <v>2444</v>
      </c>
      <c r="B714" s="91" t="s">
        <v>2445</v>
      </c>
      <c r="C714" s="91" t="s">
        <v>2446</v>
      </c>
      <c r="D714" s="91" t="s">
        <v>64</v>
      </c>
      <c r="E714" s="123" t="b">
        <f>IF(E713=TRUE,TRUE,FALSE)</f>
        <v>0</v>
      </c>
      <c r="F714" s="124"/>
    </row>
    <row r="715">
      <c r="A715" s="124" t="s">
        <v>2447</v>
      </c>
      <c r="B715" s="91" t="s">
        <v>2448</v>
      </c>
      <c r="C715" s="91" t="s">
        <v>2449</v>
      </c>
      <c r="D715" s="91" t="s">
        <v>565</v>
      </c>
      <c r="E715" s="123" t="b">
        <f>IF(E713=TRUE,TRUE,FALSE)</f>
        <v>0</v>
      </c>
      <c r="F715" s="124"/>
    </row>
    <row r="716">
      <c r="A716" s="124" t="s">
        <v>2450</v>
      </c>
      <c r="B716" s="91" t="s">
        <v>2451</v>
      </c>
      <c r="C716" s="91" t="s">
        <v>2452</v>
      </c>
      <c r="D716" s="91" t="s">
        <v>565</v>
      </c>
      <c r="E716" s="123" t="b">
        <f>IF(E713=TRUE,TRUE,FALSE)</f>
        <v>0</v>
      </c>
      <c r="F716" s="124"/>
    </row>
    <row r="717">
      <c r="A717" s="143" t="s">
        <v>2453</v>
      </c>
      <c r="B717" s="144"/>
      <c r="C717" s="144"/>
      <c r="D717" s="145"/>
      <c r="E717" s="146" t="b">
        <v>0</v>
      </c>
      <c r="F717" s="124"/>
    </row>
    <row r="718">
      <c r="A718" s="122" t="str">
        <f>HYPERLINK("https://github.com/pytorch/pytorch/blob/f99ab991dcd3719ee25dd3377a53ea12e518308e/test/distributed/test_run.py#L18", "RunTest")</f>
        <v>RunTest</v>
      </c>
      <c r="B718" s="91" t="s">
        <v>2454</v>
      </c>
      <c r="C718" s="91" t="s">
        <v>2455</v>
      </c>
      <c r="D718" s="91" t="s">
        <v>2456</v>
      </c>
      <c r="E718" s="123" t="b">
        <f>IF(E717=TRUE,TRUE,FALSE)</f>
        <v>0</v>
      </c>
      <c r="F718" s="124"/>
    </row>
    <row r="719">
      <c r="A719" s="122" t="str">
        <f>HYPERLINK("https://github.com/pytorch/pytorch/blob/f99ab991dcd3719ee25dd3377a53ea12e518308e/test/distributed/test_launcher.py#L34", "TestDistributedLaunch")</f>
        <v>TestDistributedLaunch</v>
      </c>
      <c r="B719" s="91" t="s">
        <v>2457</v>
      </c>
      <c r="C719" s="91" t="s">
        <v>2458</v>
      </c>
      <c r="D719" s="91" t="s">
        <v>2459</v>
      </c>
      <c r="E719" s="123" t="b">
        <f>IF(E717=TRUE,TRUE,FALSE)</f>
        <v>0</v>
      </c>
      <c r="F719" s="124"/>
    </row>
    <row r="720">
      <c r="A720" s="122" t="str">
        <f>HYPERLINK("https://github.com/pytorch/pytorch/blob/f99ab991dcd3719ee25dd3377a53ea12e518308e/test/distributed/launcher/test_api.py#L17", "LauncherApiTest")</f>
        <v>LauncherApiTest</v>
      </c>
      <c r="B720" s="91" t="s">
        <v>2354</v>
      </c>
      <c r="C720" s="91" t="s">
        <v>2355</v>
      </c>
      <c r="D720" s="91" t="s">
        <v>2460</v>
      </c>
      <c r="E720" s="123" t="b">
        <f>IF(E717=TRUE,TRUE,FALSE)</f>
        <v>0</v>
      </c>
      <c r="F720" s="124"/>
    </row>
    <row r="721">
      <c r="A721" s="112" t="s">
        <v>2461</v>
      </c>
      <c r="B721" s="113"/>
      <c r="C721" s="113"/>
      <c r="D721" s="114"/>
      <c r="E721" s="115" t="b">
        <v>1</v>
      </c>
      <c r="F721" s="116"/>
    </row>
    <row r="722">
      <c r="A722" s="120" t="str">
        <f>HYPERLINK("https://github.com/pytorch/pytorch/blob/f99ab991dcd3719ee25dd3377a53ea12e518308e/test/distributed/optim/test_zero_redundancy_optimizer.py#L75", "TestZeroRedundancyOptimizer")</f>
        <v>TestZeroRedundancyOptimizer</v>
      </c>
      <c r="B722" s="25" t="s">
        <v>2368</v>
      </c>
      <c r="C722" s="25" t="s">
        <v>2462</v>
      </c>
      <c r="D722" s="25" t="s">
        <v>2463</v>
      </c>
      <c r="E722" s="121" t="b">
        <f>IF(E721=TRUE,TRUE,FALSE)</f>
        <v>1</v>
      </c>
      <c r="F722" s="133"/>
    </row>
    <row r="723">
      <c r="A723" s="117" t="str">
        <f>HYPERLINK("https://github.com/pytorch/pytorch/blob/f99ab991dcd3719ee25dd3377a53ea12e518308e/test/distributed/optim/test_named_optimizer.py#L41", "NamedOptimizerTest")</f>
        <v>NamedOptimizerTest</v>
      </c>
      <c r="B723" s="30" t="s">
        <v>2464</v>
      </c>
      <c r="C723" s="30" t="s">
        <v>2465</v>
      </c>
      <c r="D723" s="30" t="s">
        <v>1294</v>
      </c>
      <c r="E723" s="118" t="b">
        <f>IF(E721=TRUE,TRUE,FALSE)</f>
        <v>1</v>
      </c>
      <c r="F723" s="134"/>
    </row>
    <row r="724">
      <c r="A724" s="120" t="str">
        <f>HYPERLINK("https://github.com/pytorch/pytorch/blob/f99ab991dcd3719ee25dd3377a53ea12e518308e/test/distributed/optim/test_apply_optimizer_in_backward.py#L31", "ApplyOverlappedOptimizerTest")</f>
        <v>ApplyOverlappedOptimizerTest</v>
      </c>
      <c r="B724" s="25" t="s">
        <v>2466</v>
      </c>
      <c r="C724" s="25" t="s">
        <v>2467</v>
      </c>
      <c r="D724" s="25" t="s">
        <v>2468</v>
      </c>
      <c r="E724" s="121" t="b">
        <f>IF(E721=TRUE,TRUE,FALSE)</f>
        <v>1</v>
      </c>
      <c r="F724" s="133"/>
    </row>
    <row r="725">
      <c r="A725" s="143" t="s">
        <v>2469</v>
      </c>
      <c r="B725" s="144"/>
      <c r="C725" s="144"/>
      <c r="D725" s="145"/>
      <c r="E725" s="146" t="b">
        <v>0</v>
      </c>
      <c r="F725" s="124"/>
    </row>
    <row r="726">
      <c r="A726" s="122" t="str">
        <f>HYPERLINK("https://github.com/pytorch/pytorch/blob/f99ab991dcd3719ee25dd3377a53ea12e518308e/test/distributed/_pycute/test_coalesce.py#L49", "TestCoalesce")</f>
        <v>TestCoalesce</v>
      </c>
      <c r="B726" s="91" t="s">
        <v>2470</v>
      </c>
      <c r="C726" s="91" t="s">
        <v>2471</v>
      </c>
      <c r="D726" s="91" t="s">
        <v>64</v>
      </c>
      <c r="E726" s="123" t="b">
        <f>IF(E725=TRUE,TRUE,FALSE)</f>
        <v>0</v>
      </c>
      <c r="F726" s="124"/>
    </row>
    <row r="727">
      <c r="A727" s="122" t="str">
        <f>HYPERLINK("https://github.com/pytorch/pytorch/blob/f99ab991dcd3719ee25dd3377a53ea12e518308e/test/distributed/_pycute/test_complement.py#L49", "TestComplement")</f>
        <v>TestComplement</v>
      </c>
      <c r="B727" s="91" t="s">
        <v>2472</v>
      </c>
      <c r="C727" s="91" t="s">
        <v>2473</v>
      </c>
      <c r="D727" s="91" t="s">
        <v>64</v>
      </c>
      <c r="E727" s="123" t="b">
        <f>IF(E725=TRUE,TRUE,FALSE)</f>
        <v>0</v>
      </c>
      <c r="F727" s="124"/>
    </row>
    <row r="728">
      <c r="A728" s="122" t="str">
        <f>HYPERLINK("https://github.com/pytorch/pytorch/blob/f99ab991dcd3719ee25dd3377a53ea12e518308e/test/distributed/_pycute/test_composition.py#L49", "TestComposition")</f>
        <v>TestComposition</v>
      </c>
      <c r="B728" s="91" t="s">
        <v>2474</v>
      </c>
      <c r="C728" s="91" t="s">
        <v>2475</v>
      </c>
      <c r="D728" s="91" t="s">
        <v>64</v>
      </c>
      <c r="E728" s="123" t="b">
        <f>IF(E725=TRUE,TRUE,FALSE)</f>
        <v>0</v>
      </c>
      <c r="F728" s="124"/>
    </row>
    <row r="729">
      <c r="A729" s="122" t="str">
        <f>HYPERLINK("https://github.com/pytorch/pytorch/blob/f99ab991dcd3719ee25dd3377a53ea12e518308e/test/distributed/_pycute/test_int_tuple.py#L44", "TestIntTuple")</f>
        <v>TestIntTuple</v>
      </c>
      <c r="B729" s="91" t="s">
        <v>2407</v>
      </c>
      <c r="C729" s="91" t="s">
        <v>2476</v>
      </c>
      <c r="D729" s="91" t="s">
        <v>64</v>
      </c>
      <c r="E729" s="123" t="b">
        <f>IF(E725=TRUE,TRUE,FALSE)</f>
        <v>0</v>
      </c>
      <c r="F729" s="124"/>
    </row>
    <row r="730">
      <c r="A730" s="122" t="str">
        <f>HYPERLINK("https://github.com/pytorch/pytorch/blob/f99ab991dcd3719ee25dd3377a53ea12e518308e/test/distributed/_pycute/test_left_inverse.py#L49", "TestLeftInverse")</f>
        <v>TestLeftInverse</v>
      </c>
      <c r="B730" s="91" t="s">
        <v>2477</v>
      </c>
      <c r="C730" s="91" t="s">
        <v>2478</v>
      </c>
      <c r="D730" s="91" t="s">
        <v>64</v>
      </c>
      <c r="E730" s="123" t="b">
        <f>IF(E725=TRUE,TRUE,FALSE)</f>
        <v>0</v>
      </c>
      <c r="F730" s="124"/>
    </row>
    <row r="731">
      <c r="A731" s="122" t="str">
        <f>HYPERLINK("https://github.com/pytorch/pytorch/blob/f99ab991dcd3719ee25dd3377a53ea12e518308e/test/distributed/_pycute/test_right_inverse.py#L49", "TestRightInverse")</f>
        <v>TestRightInverse</v>
      </c>
      <c r="B731" s="91" t="s">
        <v>2479</v>
      </c>
      <c r="C731" s="91" t="s">
        <v>2480</v>
      </c>
      <c r="D731" s="91" t="s">
        <v>64</v>
      </c>
      <c r="E731" s="123" t="b">
        <f>IF(E725=TRUE,TRUE,FALSE)</f>
        <v>0</v>
      </c>
      <c r="F731" s="124"/>
    </row>
    <row r="732">
      <c r="A732" s="122" t="str">
        <f>HYPERLINK("https://github.com/pytorch/pytorch/blob/f99ab991dcd3719ee25dd3377a53ea12e518308e/test/distributed/_pycute/test_typing.py#L49", "TestTyping")</f>
        <v>TestTyping</v>
      </c>
      <c r="B732" s="91" t="s">
        <v>2481</v>
      </c>
      <c r="C732" s="91" t="s">
        <v>2482</v>
      </c>
      <c r="D732" s="91" t="s">
        <v>64</v>
      </c>
      <c r="E732" s="123" t="b">
        <f>IF(E725=TRUE,TRUE,FALSE)</f>
        <v>0</v>
      </c>
      <c r="F732" s="124"/>
    </row>
    <row r="733">
      <c r="A733" s="143" t="s">
        <v>2483</v>
      </c>
      <c r="B733" s="144"/>
      <c r="C733" s="144"/>
      <c r="D733" s="145"/>
      <c r="E733" s="146" t="b">
        <v>0</v>
      </c>
      <c r="F733" s="124"/>
    </row>
    <row r="734">
      <c r="A734" s="122" t="str">
        <f>HYPERLINK("https://github.com/pytorch/pytorch/blob/f99ab991dcd3719ee25dd3377a53ea12e518308e/test/distributed/test_debug.py#L37", "TestDebug")</f>
        <v>TestDebug</v>
      </c>
      <c r="B734" s="91" t="s">
        <v>2484</v>
      </c>
      <c r="C734" s="91" t="s">
        <v>2485</v>
      </c>
      <c r="D734" s="91" t="s">
        <v>2486</v>
      </c>
      <c r="E734" s="123" t="b">
        <f>IF(E733=TRUE,TRUE,FALSE)</f>
        <v>0</v>
      </c>
      <c r="F734" s="124"/>
    </row>
    <row r="735">
      <c r="A735" s="122" t="str">
        <f>HYPERLINK("https://github.com/pytorch/pytorch/blob/f99ab991dcd3719ee25dd3377a53ea12e518308e/test/distributed/test_dynamo_distributed.py#L1463", "TestSingleProc")</f>
        <v>TestSingleProc</v>
      </c>
      <c r="B735" s="91" t="s">
        <v>2393</v>
      </c>
      <c r="C735" s="91" t="s">
        <v>2487</v>
      </c>
      <c r="D735" s="91" t="s">
        <v>2488</v>
      </c>
      <c r="E735" s="123" t="b">
        <f>IF(E733=TRUE,TRUE,FALSE)</f>
        <v>0</v>
      </c>
      <c r="F735" s="124"/>
    </row>
    <row r="736">
      <c r="A736" s="122" t="str">
        <f>HYPERLINK("https://github.com/pytorch/pytorch/blob/f99ab991dcd3719ee25dd3377a53ea12e518308e/test/distributed/test_dynamo_distributed.py#L353", "TestFakeDistributedSingleProc")</f>
        <v>TestFakeDistributedSingleProc</v>
      </c>
      <c r="B736" s="91" t="s">
        <v>2489</v>
      </c>
      <c r="C736" s="91" t="s">
        <v>2490</v>
      </c>
      <c r="D736" s="91" t="s">
        <v>565</v>
      </c>
      <c r="E736" s="123" t="b">
        <f>IF(E733=TRUE,TRUE,FALSE)</f>
        <v>0</v>
      </c>
      <c r="F736" s="124"/>
    </row>
    <row r="737">
      <c r="A737" s="122" t="str">
        <f>HYPERLINK("https://github.com/pytorch/pytorch/blob/f99ab991dcd3719ee25dd3377a53ea12e518308e/test/distributed/_tools/test_fake_collectives.py#L39", "TestFakeCollectives")</f>
        <v>TestFakeCollectives</v>
      </c>
      <c r="B737" s="91" t="s">
        <v>2491</v>
      </c>
      <c r="C737" s="91" t="s">
        <v>2492</v>
      </c>
      <c r="D737" s="91" t="s">
        <v>1294</v>
      </c>
      <c r="E737" s="123" t="b">
        <f>IF(E733=TRUE,TRUE,FALSE)</f>
        <v>0</v>
      </c>
      <c r="F737" s="124"/>
    </row>
    <row r="738">
      <c r="A738" s="128" t="str">
        <f>HYPERLINK("https://github.com/pytorch/pytorch/blob/f99ab991dcd3719ee25dd3377a53ea12e518308e/test/distributed/_tools/test_fake_collectives.py#L116", "CollectiveTest")</f>
        <v>CollectiveTest</v>
      </c>
      <c r="B738" s="129" t="s">
        <v>2493</v>
      </c>
      <c r="C738" s="129" t="s">
        <v>2494</v>
      </c>
      <c r="D738" s="129" t="s">
        <v>1294</v>
      </c>
      <c r="E738" s="130" t="b">
        <v>0</v>
      </c>
      <c r="F738" s="129"/>
    </row>
    <row r="739">
      <c r="A739" s="143" t="s">
        <v>2495</v>
      </c>
      <c r="B739" s="144"/>
      <c r="C739" s="144"/>
      <c r="D739" s="145"/>
      <c r="E739" s="146" t="b">
        <v>0</v>
      </c>
      <c r="F739" s="124"/>
    </row>
    <row r="740">
      <c r="A740" s="122" t="str">
        <f>HYPERLINK("https://github.com/pytorch/pytorch/blob/f99ab991dcd3719ee25dd3377a53ea12e518308e/test/distributed/rpc/test_share_memory.py#L62", "TestRPCPickler")</f>
        <v>TestRPCPickler</v>
      </c>
      <c r="B740" s="91" t="s">
        <v>2496</v>
      </c>
      <c r="C740" s="91" t="s">
        <v>2497</v>
      </c>
      <c r="D740" s="91" t="s">
        <v>1294</v>
      </c>
      <c r="E740" s="123" t="b">
        <f>IF(E739=TRUE,TRUE,FALSE)</f>
        <v>0</v>
      </c>
      <c r="F740" s="124"/>
    </row>
    <row r="741">
      <c r="A741" s="143" t="s">
        <v>2498</v>
      </c>
      <c r="B741" s="144"/>
      <c r="C741" s="144"/>
      <c r="D741" s="145"/>
      <c r="E741" s="146" t="b">
        <v>0</v>
      </c>
      <c r="F741" s="124"/>
    </row>
    <row r="742">
      <c r="A742" s="122" t="str">
        <f>HYPERLINK("https://github.com/pytorch/pytorch/blob/f99ab991dcd3719ee25dd3377a53ea12e518308e/test/distributed/_tools/test_memory_tracker.py#L11", "TestMemoryTracker")</f>
        <v>TestMemoryTracker</v>
      </c>
      <c r="B742" s="91" t="s">
        <v>2499</v>
      </c>
      <c r="C742" s="91" t="s">
        <v>2500</v>
      </c>
      <c r="D742" s="91" t="s">
        <v>2501</v>
      </c>
      <c r="E742" s="123" t="b">
        <f>IF(E741=TRUE,TRUE,FALSE)</f>
        <v>0</v>
      </c>
      <c r="F742" s="124"/>
    </row>
    <row r="743">
      <c r="A743" s="122" t="str">
        <f>HYPERLINK("https://github.com/pytorch/pytorch/blob/f99ab991dcd3719ee25dd3377a53ea12e518308e/test/distributed/_tools/test_mem_tracker.py#L17", "TestMemTracker")</f>
        <v>TestMemTracker</v>
      </c>
      <c r="B743" s="91" t="s">
        <v>2502</v>
      </c>
      <c r="C743" s="91" t="s">
        <v>2503</v>
      </c>
      <c r="D743" s="91" t="s">
        <v>2504</v>
      </c>
      <c r="E743" s="123" t="b">
        <f>IF(E741=TRUE,TRUE,FALSE)</f>
        <v>0</v>
      </c>
      <c r="F743" s="124"/>
    </row>
    <row r="744">
      <c r="A744" s="122" t="str">
        <f>HYPERLINK("https://github.com/pytorch/pytorch/blob/f99ab991dcd3719ee25dd3377a53ea12e518308e/test/distributed/_tools/test_mod_tracker.py#L11", "TestModTracker")</f>
        <v>TestModTracker</v>
      </c>
      <c r="B744" s="91" t="s">
        <v>2505</v>
      </c>
      <c r="C744" s="91" t="s">
        <v>2506</v>
      </c>
      <c r="D744" s="91" t="s">
        <v>1294</v>
      </c>
      <c r="E744" s="123" t="b">
        <f>IF(E741=TRUE,TRUE,FALSE)</f>
        <v>0</v>
      </c>
      <c r="F744" s="124"/>
    </row>
    <row r="745">
      <c r="A745" s="122" t="str">
        <f>HYPERLINK("https://github.com/pytorch/pytorch/blob/f99ab991dcd3719ee25dd3377a53ea12e518308e/test/distributed/_tools/test_runtime_estimator.py#L61", "TestRuntimeEstimator")</f>
        <v>TestRuntimeEstimator</v>
      </c>
      <c r="B745" s="91" t="s">
        <v>2507</v>
      </c>
      <c r="C745" s="91" t="s">
        <v>2508</v>
      </c>
      <c r="D745" s="91" t="s">
        <v>2509</v>
      </c>
      <c r="E745" s="123" t="b">
        <f>IF(E741=TRUE,TRUE,FALSE)</f>
        <v>0</v>
      </c>
      <c r="F745" s="124"/>
    </row>
    <row r="746">
      <c r="A746" s="122" t="str">
        <f>HYPERLINK("https://github.com/pytorch/pytorch/blob/f99ab991dcd3719ee25dd3377a53ea12e518308e/test/distributed/_tools/test_sac_estimator.py#L15", "TestSACEstimator")</f>
        <v>TestSACEstimator</v>
      </c>
      <c r="B746" s="91" t="s">
        <v>2510</v>
      </c>
      <c r="C746" s="91" t="s">
        <v>2511</v>
      </c>
      <c r="D746" s="91" t="s">
        <v>2512</v>
      </c>
      <c r="E746" s="123" t="b">
        <f>IF(E741=TRUE,TRUE,FALSE)</f>
        <v>0</v>
      </c>
      <c r="F746" s="124"/>
    </row>
    <row r="747">
      <c r="A747" s="122" t="str">
        <f>HYPERLINK("https://github.com/pytorch/pytorch/blob/f99ab991dcd3719ee25dd3377a53ea12e518308e/test/distributed/_tools/test_sac_ilp.py#L44", "TestSACILP")</f>
        <v>TestSACILP</v>
      </c>
      <c r="B747" s="91" t="s">
        <v>2513</v>
      </c>
      <c r="C747" s="91" t="s">
        <v>2514</v>
      </c>
      <c r="D747" s="91" t="s">
        <v>2515</v>
      </c>
      <c r="E747" s="123" t="b">
        <f>IF(E741=TRUE,TRUE,FALSE)</f>
        <v>0</v>
      </c>
      <c r="F747" s="124"/>
    </row>
    <row r="748">
      <c r="A748" s="122" t="str">
        <f>HYPERLINK("https://github.com/pytorch/pytorch/blob/f99ab991dcd3719ee25dd3377a53ea12e518308e/test/distributed/_tools/test_fsdp2_mem_tracker.py#L225", "TestTrackerFullyShard1DTrainingCompose")</f>
        <v>TestTrackerFullyShard1DTrainingCompose</v>
      </c>
      <c r="B748" s="91" t="s">
        <v>2516</v>
      </c>
      <c r="C748" s="91" t="s">
        <v>2517</v>
      </c>
      <c r="D748" s="91" t="s">
        <v>2518</v>
      </c>
      <c r="E748" s="123" t="b">
        <f>IF(E741=TRUE,TRUE,FALSE)</f>
        <v>0</v>
      </c>
      <c r="F748" s="124"/>
    </row>
    <row r="749">
      <c r="A749" s="122" t="str">
        <f>HYPERLINK("https://github.com/pytorch/pytorch/blob/f99ab991dcd3719ee25dd3377a53ea12e518308e/test/distributed/_tools/test_fsdp2_mem_tracker.py#L46", "TestTrackerFullyShard1DTrainingCore")</f>
        <v>TestTrackerFullyShard1DTrainingCore</v>
      </c>
      <c r="B749" s="91" t="s">
        <v>2516</v>
      </c>
      <c r="C749" s="91" t="s">
        <v>2519</v>
      </c>
      <c r="D749" s="91" t="s">
        <v>2518</v>
      </c>
      <c r="E749" s="123" t="b">
        <f>IF(E741=TRUE,TRUE,FALSE)</f>
        <v>0</v>
      </c>
      <c r="F749" s="124"/>
    </row>
    <row r="750">
      <c r="A750" s="122" t="str">
        <f>HYPERLINK("https://github.com/pytorch/pytorch/blob/f99ab991dcd3719ee25dd3377a53ea12e518308e/test/distributed/_tools/test_sac_ilp.py#L223", "TestOptimalCheckpointingPolicy")</f>
        <v>TestOptimalCheckpointingPolicy</v>
      </c>
      <c r="B750" s="91" t="s">
        <v>2513</v>
      </c>
      <c r="C750" s="91" t="s">
        <v>2520</v>
      </c>
      <c r="D750" s="91" t="s">
        <v>2521</v>
      </c>
      <c r="E750" s="123" t="b">
        <f>IF(E741=TRUE,TRUE,FALSE)</f>
        <v>0</v>
      </c>
      <c r="F750" s="124"/>
    </row>
    <row r="751">
      <c r="A751" s="143" t="s">
        <v>2522</v>
      </c>
      <c r="B751" s="144"/>
      <c r="C751" s="144"/>
      <c r="D751" s="145"/>
      <c r="E751" s="146" t="b">
        <v>0</v>
      </c>
      <c r="F751" s="124"/>
    </row>
    <row r="752">
      <c r="A752" s="122" t="str">
        <f>HYPERLINK("https://github.com/pytorch/pytorch/blob/f99ab991dcd3719ee25dd3377a53ea12e518308e/test/distributed/elastic/rendezvous/c10d_rendezvous_backend_test.py#L69", "CreateBackendTest")</f>
        <v>CreateBackendTest</v>
      </c>
      <c r="B752" s="91" t="s">
        <v>2228</v>
      </c>
      <c r="C752" s="91" t="s">
        <v>2523</v>
      </c>
      <c r="D752" s="91" t="s">
        <v>2524</v>
      </c>
      <c r="E752" s="123" t="b">
        <f>IF(E751=TRUE,TRUE,FALSE)</f>
        <v>0</v>
      </c>
      <c r="F752" s="124"/>
    </row>
    <row r="753">
      <c r="A753" s="122" t="str">
        <f>HYPERLINK("https://github.com/pytorch/pytorch/blob/f99ab991dcd3719ee25dd3377a53ea12e518308e/test/distributed/elastic/utils/data/cycling_iterator_test.py#L14", "CyclingIteratorTest")</f>
        <v>CyclingIteratorTest</v>
      </c>
      <c r="B753" s="91" t="s">
        <v>2525</v>
      </c>
      <c r="C753" s="91" t="s">
        <v>2526</v>
      </c>
      <c r="D753" s="91" t="s">
        <v>2527</v>
      </c>
      <c r="E753" s="123" t="b">
        <f>IF(E751=TRUE,TRUE,FALSE)</f>
        <v>0</v>
      </c>
      <c r="F753" s="124"/>
    </row>
    <row r="754">
      <c r="A754" s="143" t="s">
        <v>2528</v>
      </c>
      <c r="B754" s="144"/>
      <c r="C754" s="144"/>
      <c r="D754" s="145"/>
      <c r="E754" s="146" t="b">
        <v>0</v>
      </c>
      <c r="F754" s="124"/>
    </row>
    <row r="755">
      <c r="A755" s="122" t="str">
        <f>HYPERLINK("https://github.com/pytorch/pytorch/blob/f99ab991dcd3719ee25dd3377a53ea12e518308e/test/distributed/test_local_tensor.py#L59", "LocalTensorRankTest")</f>
        <v>LocalTensorRankTest</v>
      </c>
      <c r="B755" s="91" t="s">
        <v>2529</v>
      </c>
      <c r="C755" s="91" t="s">
        <v>2530</v>
      </c>
      <c r="D755" s="91" t="s">
        <v>2531</v>
      </c>
      <c r="E755" s="123" t="b">
        <f>IF(E754=TRUE,TRUE,FALSE)</f>
        <v>0</v>
      </c>
      <c r="F755" s="124"/>
    </row>
    <row r="756">
      <c r="A756" s="122" t="str">
        <f>HYPERLINK("https://github.com/pytorch/pytorch/blob/f99ab991dcd3719ee25dd3377a53ea12e518308e/test/distributed/test_local_tensor.py#L29", "LocalTensorTestBase")</f>
        <v>LocalTensorTestBase</v>
      </c>
      <c r="B756" s="91" t="s">
        <v>2529</v>
      </c>
      <c r="C756" s="91" t="s">
        <v>2532</v>
      </c>
      <c r="D756" s="91" t="s">
        <v>2531</v>
      </c>
      <c r="E756" s="123" t="b">
        <f>IF(E754=TRUE,TRUE,FALSE)</f>
        <v>0</v>
      </c>
      <c r="F756" s="124"/>
    </row>
    <row r="757">
      <c r="A757" s="122" t="str">
        <f>HYPERLINK("https://github.com/pytorch/pytorch/blob/f99ab991dcd3719ee25dd3377a53ea12e518308e/test/distributed/test_local_tensor.py#L92", "LocalTensorWorldTest")</f>
        <v>LocalTensorWorldTest</v>
      </c>
      <c r="B757" s="91" t="s">
        <v>2529</v>
      </c>
      <c r="C757" s="91" t="s">
        <v>2533</v>
      </c>
      <c r="D757" s="91" t="s">
        <v>2531</v>
      </c>
      <c r="E757" s="123" t="b">
        <f t="shared" ref="E757:E760" si="2">IF(E754=TRUE,TRUE,FALSE)</f>
        <v>0</v>
      </c>
      <c r="F757" s="124"/>
    </row>
    <row r="758">
      <c r="A758" s="122" t="str">
        <f>HYPERLINK("https://github.com/pytorch/pytorch/blob/f99ab991dcd3719ee25dd3377a53ea12e518308e/test/distributed/test_local_tensor.py#L109", "TestLocalTensorWorld2")</f>
        <v>TestLocalTensorWorld2</v>
      </c>
      <c r="B758" s="171" t="s">
        <v>2529</v>
      </c>
      <c r="C758" s="91" t="s">
        <v>2534</v>
      </c>
      <c r="D758" s="91" t="s">
        <v>2535</v>
      </c>
      <c r="E758" s="123" t="b">
        <f t="shared" si="2"/>
        <v>0</v>
      </c>
      <c r="F758" s="124"/>
    </row>
    <row r="759">
      <c r="A759" s="122" t="str">
        <f>HYPERLINK("https://github.com/pytorch/pytorch/blob/f99ab991dcd3719ee25dd3377a53ea12e518308e/test/distributed/test_local_tensor.py#L256", "TestLocalTensorRankWorld2")</f>
        <v>TestLocalTensorRankWorld2</v>
      </c>
      <c r="B759" s="171" t="s">
        <v>2529</v>
      </c>
      <c r="C759" s="91" t="s">
        <v>2536</v>
      </c>
      <c r="D759" s="91" t="s">
        <v>2535</v>
      </c>
      <c r="E759" s="123" t="b">
        <f t="shared" si="2"/>
        <v>0</v>
      </c>
      <c r="F759" s="124"/>
    </row>
    <row r="760">
      <c r="A760" s="122" t="str">
        <f>HYPERLINK("https://github.com/pytorch/pytorch/blob/f99ab991dcd3719ee25dd3377a53ea12e518308e/test/distributed/test_local_tensor.py#L411", "TestLocalTensorRankWorld3")</f>
        <v>TestLocalTensorRankWorld3</v>
      </c>
      <c r="B760" s="171" t="s">
        <v>2529</v>
      </c>
      <c r="C760" s="91" t="s">
        <v>2537</v>
      </c>
      <c r="D760" s="91" t="s">
        <v>2535</v>
      </c>
      <c r="E760" s="123" t="b">
        <f t="shared" si="2"/>
        <v>0</v>
      </c>
      <c r="F760" s="124"/>
    </row>
    <row r="761">
      <c r="A761" s="122" t="str">
        <f>HYPERLINK("https://github.com/pytorch/pytorch/blob/f99ab991dcd3719ee25dd3377a53ea12e518308e/test/distributed/test_local_tensor.py#L551", "TestLocalTensorWorld3")</f>
        <v>TestLocalTensorWorld3</v>
      </c>
      <c r="B761" s="171" t="s">
        <v>2529</v>
      </c>
      <c r="C761" s="91" t="s">
        <v>2538</v>
      </c>
      <c r="D761" s="91" t="s">
        <v>2535</v>
      </c>
      <c r="E761" s="123" t="b">
        <v>0</v>
      </c>
      <c r="F761" s="124"/>
    </row>
    <row r="762">
      <c r="A762" s="128" t="str">
        <f>HYPERLINK("https://github.com/pytorch/pytorch/blob/f99ab991dcd3719ee25dd3377a53ea12e518308e/test/distributed/test_local_tensor.py#L619", "TestLocalTensorWorld4")</f>
        <v>TestLocalTensorWorld4</v>
      </c>
      <c r="B762" s="128" t="s">
        <v>2529</v>
      </c>
      <c r="C762" s="129" t="s">
        <v>2539</v>
      </c>
      <c r="D762" s="129" t="s">
        <v>2535</v>
      </c>
      <c r="E762" s="123" t="b">
        <f t="shared" ref="E762:E764" si="3">IF(E758=TRUE,TRUE,FALSE)</f>
        <v>0</v>
      </c>
      <c r="F762" s="124"/>
    </row>
    <row r="763">
      <c r="A763" s="128" t="str">
        <f>HYPERLINK("https://github.com/pytorch/pytorch/blob/f99ab991dcd3719ee25dd3377a53ea12e518308e/test/distributed/test_local_tensor.py#L637", "TestLocalTensorWorld8")</f>
        <v>TestLocalTensorWorld8</v>
      </c>
      <c r="B763" s="128" t="s">
        <v>2529</v>
      </c>
      <c r="C763" s="129" t="s">
        <v>2540</v>
      </c>
      <c r="D763" s="129" t="s">
        <v>2535</v>
      </c>
      <c r="E763" s="123" t="b">
        <f t="shared" si="3"/>
        <v>0</v>
      </c>
      <c r="F763" s="124"/>
    </row>
    <row r="764">
      <c r="A764" s="128" t="str">
        <f>HYPERLINK("https://github.com/pytorch/pytorch/blob/f99ab991dcd3719ee25dd3377a53ea12e518308e/test/distributed/test_local_tensor.py#L663", "TestLocalRunner")</f>
        <v>TestLocalRunner</v>
      </c>
      <c r="B764" s="128" t="s">
        <v>2529</v>
      </c>
      <c r="C764" s="129" t="s">
        <v>2541</v>
      </c>
      <c r="D764" s="129" t="s">
        <v>2535</v>
      </c>
      <c r="E764" s="123" t="b">
        <f t="shared" si="3"/>
        <v>0</v>
      </c>
      <c r="F764" s="124"/>
    </row>
    <row r="765">
      <c r="A765" s="143" t="s">
        <v>2542</v>
      </c>
      <c r="B765" s="144"/>
      <c r="C765" s="144"/>
      <c r="D765" s="145"/>
      <c r="E765" s="146" t="b">
        <v>0</v>
      </c>
      <c r="F765" s="124"/>
    </row>
    <row r="766">
      <c r="A766" s="122" t="str">
        <f>HYPERLINK("https://github.com/pytorch/pytorch/blob/f99ab991dcd3719ee25dd3377a53ea12e518308e/test/distributed/test_serialization.py#L26", "TestSerialization")</f>
        <v>TestSerialization</v>
      </c>
      <c r="B766" s="91" t="s">
        <v>367</v>
      </c>
      <c r="C766" s="91" t="s">
        <v>2543</v>
      </c>
      <c r="D766" s="91" t="s">
        <v>2544</v>
      </c>
      <c r="E766" s="123" t="b">
        <f>IF(E765=TRUE,TRUE,FALSE)</f>
        <v>0</v>
      </c>
      <c r="F766" s="124"/>
    </row>
    <row r="767">
      <c r="A767" s="122" t="str">
        <f>HYPERLINK("https://github.com/pytorch/pytorch/blob/f99ab991dcd3719ee25dd3377a53ea12e518308e/test/distributed/checkpoint/test_utils.py#L199", "TestDistWrapper")</f>
        <v>TestDistWrapper</v>
      </c>
      <c r="B767" s="91" t="s">
        <v>2062</v>
      </c>
      <c r="C767" s="91" t="s">
        <v>2545</v>
      </c>
      <c r="D767" s="91" t="s">
        <v>1543</v>
      </c>
      <c r="E767" s="123" t="b">
        <f>IF(E765=TRUE,TRUE,FALSE)</f>
        <v>0</v>
      </c>
      <c r="F767" s="124"/>
    </row>
    <row r="768">
      <c r="A768" s="122" t="str">
        <f>HYPERLINK("https://github.com/pytorch/pytorch/blob/f99ab991dcd3719ee25dd3377a53ea12e518308e/test/distributed/checkpoint/e2e/test_fsdp_ep.py#L61", "TestFSDPWithEP")</f>
        <v>TestFSDPWithEP</v>
      </c>
      <c r="B768" s="91" t="s">
        <v>2546</v>
      </c>
      <c r="C768" s="91" t="s">
        <v>2547</v>
      </c>
      <c r="D768" s="91" t="s">
        <v>1543</v>
      </c>
      <c r="E768" s="123" t="b">
        <f>IF(E765=TRUE,TRUE,FALSE)</f>
        <v>0</v>
      </c>
      <c r="F768" s="124"/>
    </row>
    <row r="769">
      <c r="A769" s="122" t="str">
        <f>HYPERLINK("https://github.com/pytorch/pytorch/blob/f99ab991dcd3719ee25dd3377a53ea12e518308e/test/distributed/checkpoint/test_state_dict.py#L1084", "TestNoComm")</f>
        <v>TestNoComm</v>
      </c>
      <c r="B769" s="91" t="s">
        <v>2058</v>
      </c>
      <c r="C769" s="91" t="s">
        <v>2548</v>
      </c>
      <c r="D769" s="91" t="s">
        <v>2549</v>
      </c>
      <c r="E769" s="123" t="b">
        <f>IF(E765=TRUE,TRUE,FALSE)</f>
        <v>0</v>
      </c>
      <c r="F769" s="124"/>
    </row>
    <row r="770">
      <c r="A770" s="122" t="str">
        <f>HYPERLINK("https://github.com/pytorch/pytorch/blob/f99ab991dcd3719ee25dd3377a53ea12e518308e/test/distributed/checkpoint/e2e/test_e2e_save_and_load.py#L508", "TestNoCPU")</f>
        <v>TestNoCPU</v>
      </c>
      <c r="B770" s="91" t="s">
        <v>2120</v>
      </c>
      <c r="C770" s="91" t="s">
        <v>2550</v>
      </c>
      <c r="D770" s="91" t="s">
        <v>2551</v>
      </c>
      <c r="E770" s="123" t="b">
        <f>IF(E765=TRUE,TRUE,FALSE)</f>
        <v>0</v>
      </c>
      <c r="F770" s="124"/>
    </row>
    <row r="771">
      <c r="A771" s="122" t="str">
        <f>HYPERLINK("https://github.com/pytorch/pytorch/blob/f99ab991dcd3719ee25dd3377a53ea12e518308e/test/distributed/test_dynamo_distributed.py#L576", "TestMultiProc")</f>
        <v>TestMultiProc</v>
      </c>
      <c r="B771" s="91" t="s">
        <v>2393</v>
      </c>
      <c r="C771" s="91" t="s">
        <v>2552</v>
      </c>
      <c r="D771" s="91" t="s">
        <v>1524</v>
      </c>
      <c r="E771" s="123" t="b">
        <f>IF(E765=TRUE,TRUE,FALSE)</f>
        <v>0</v>
      </c>
      <c r="F771" s="124"/>
    </row>
    <row r="772">
      <c r="A772" s="122" t="str">
        <f>HYPERLINK("https://github.com/pytorch/pytorch/blob/f99ab991dcd3719ee25dd3377a53ea12e518308e/test/distributed/checkpoint/test_nested_dict.py#L11", "TestFlattening")</f>
        <v>TestFlattening</v>
      </c>
      <c r="B772" s="91" t="s">
        <v>2553</v>
      </c>
      <c r="C772" s="91" t="s">
        <v>2554</v>
      </c>
      <c r="D772" s="91" t="s">
        <v>2555</v>
      </c>
      <c r="E772" s="123" t="b">
        <f>IF(E765=TRUE,TRUE,FALSE)</f>
        <v>0</v>
      </c>
      <c r="F772" s="124"/>
    </row>
    <row r="773">
      <c r="A773" s="122" t="str">
        <f>HYPERLINK("https://github.com/pytorch/pytorch/blob/f99ab991dcd3719ee25dd3377a53ea12e518308e/test/distributed/_shard/sharded_tensor/test_sharded_tensor.py#L368", "TestModuleHookApi")</f>
        <v>TestModuleHookApi</v>
      </c>
      <c r="B773" s="91" t="s">
        <v>2306</v>
      </c>
      <c r="C773" s="91" t="s">
        <v>2556</v>
      </c>
      <c r="D773" s="91" t="s">
        <v>2557</v>
      </c>
      <c r="E773" s="123" t="b">
        <f>IF(E765=TRUE,TRUE,FALSE)</f>
        <v>0</v>
      </c>
      <c r="F773" s="124"/>
    </row>
    <row r="774">
      <c r="A774" s="122" t="str">
        <f>HYPERLINK("https://github.com/pytorch/pytorch/blob/f99ab991dcd3719ee25dd3377a53ea12e518308e/test/distributed/_pycute/test_coalesce.py#L49", "TestCoalesce")</f>
        <v>TestCoalesce</v>
      </c>
      <c r="B774" s="91" t="s">
        <v>2470</v>
      </c>
      <c r="C774" s="91" t="s">
        <v>2558</v>
      </c>
      <c r="D774" s="91" t="s">
        <v>2559</v>
      </c>
      <c r="E774" s="123" t="b">
        <f>IF(E765=TRUE,TRUE,FALSE)</f>
        <v>0</v>
      </c>
      <c r="F774" s="124"/>
    </row>
    <row r="775">
      <c r="A775" s="122" t="str">
        <f>HYPERLINK("https://github.com/pytorch/pytorch/blob/f99ab991dcd3719ee25dd3377a53ea12e518308e/test/distributed/checkpoint/test_async_process_executor.py#L213", "TestProcessGroupInitInfo")</f>
        <v>TestProcessGroupInitInfo</v>
      </c>
      <c r="B775" s="91" t="s">
        <v>2031</v>
      </c>
      <c r="C775" s="91" t="s">
        <v>2560</v>
      </c>
      <c r="D775" s="91" t="s">
        <v>1543</v>
      </c>
      <c r="E775" s="123" t="b">
        <f>IF(E765=TRUE,TRUE,FALSE)</f>
        <v>0</v>
      </c>
      <c r="F775" s="124"/>
    </row>
    <row r="776">
      <c r="A776" s="122" t="str">
        <f>HYPERLINK("https://github.com/pytorch/pytorch/blob/f99ab991dcd3719ee25dd3377a53ea12e518308e/test/distributed/checkpoint/test_pg_transport.py#L360", "TestPrepareStateDict")</f>
        <v>TestPrepareStateDict</v>
      </c>
      <c r="B776" s="91" t="s">
        <v>2035</v>
      </c>
      <c r="C776" s="91" t="s">
        <v>2561</v>
      </c>
      <c r="D776" s="91" t="s">
        <v>2562</v>
      </c>
      <c r="E776" s="123" t="b">
        <f>IF(E765=TRUE,TRUE,FALSE)</f>
        <v>0</v>
      </c>
      <c r="F776" s="124"/>
    </row>
    <row r="777">
      <c r="A777" s="122" t="str">
        <f>HYPERLINK("https://github.com/pytorch/pytorch/blob/f99ab991dcd3719ee25dd3377a53ea12e518308e/test/distributed/checkpoint/test_pg_transport.py#L313", "TestPrepareTensor")</f>
        <v>TestPrepareTensor</v>
      </c>
      <c r="B777" s="91" t="s">
        <v>2035</v>
      </c>
      <c r="C777" s="91" t="s">
        <v>2563</v>
      </c>
      <c r="D777" s="91" t="s">
        <v>2564</v>
      </c>
      <c r="E777" s="123" t="b">
        <f>IF(E765=TRUE,TRUE,FALSE)</f>
        <v>0</v>
      </c>
      <c r="F777" s="124"/>
    </row>
    <row r="778">
      <c r="A778" s="122" t="str">
        <f>HYPERLINK("https://github.com/pytorch/pytorch/blob/f99ab991dcd3719ee25dd3377a53ea12e518308e/test/distributed/checkpoint/test_utils.py#L73", "TestMedatadaIndex")</f>
        <v>TestMedatadaIndex</v>
      </c>
      <c r="B778" s="91" t="s">
        <v>2062</v>
      </c>
      <c r="C778" s="91" t="s">
        <v>2565</v>
      </c>
      <c r="D778" s="91" t="s">
        <v>2566</v>
      </c>
      <c r="E778" s="123" t="b">
        <f>IF(E765=TRUE,TRUE,FALSE)</f>
        <v>0</v>
      </c>
      <c r="F778" s="124"/>
    </row>
    <row r="779">
      <c r="A779" s="122" t="str">
        <f>HYPERLINK("https://github.com/pytorch/pytorch/blob/f99ab991dcd3719ee25dd3377a53ea12e518308e/test/distributed/checkpoint/_experimental/test_builder.py#L23", "TestMakeCheckpointer")</f>
        <v>TestMakeCheckpointer</v>
      </c>
      <c r="B779" s="91" t="s">
        <v>2567</v>
      </c>
      <c r="C779" s="91" t="s">
        <v>2568</v>
      </c>
      <c r="D779" s="91" t="s">
        <v>2569</v>
      </c>
      <c r="E779" s="123" t="b">
        <f>IF(E765=TRUE,TRUE,FALSE)</f>
        <v>0</v>
      </c>
      <c r="F779" s="124"/>
    </row>
    <row r="780">
      <c r="A780" s="122" t="str">
        <f>HYPERLINK("https://github.com/pytorch/pytorch/blob/f99ab991dcd3719ee25dd3377a53ea12e518308e/test/distributed/nn/jit/test_instantiator.py#L35", "TestInstantiator")</f>
        <v>TestInstantiator</v>
      </c>
      <c r="B780" s="91" t="s">
        <v>2570</v>
      </c>
      <c r="C780" s="91" t="s">
        <v>2571</v>
      </c>
      <c r="D780" s="91" t="s">
        <v>2572</v>
      </c>
      <c r="E780" s="123" t="b">
        <f>IF(E765=TRUE,TRUE,FALSE)</f>
        <v>0</v>
      </c>
      <c r="F780" s="124"/>
    </row>
    <row r="816">
      <c r="B816" s="172">
        <v>96.0</v>
      </c>
    </row>
  </sheetData>
  <autoFilter ref="$A$2:$Z$780"/>
  <dataValidations>
    <dataValidation type="list" allowBlank="1" sqref="E3:E780">
      <formula1>"TRUE,FALSE,UNSURE (INDUCTOR),UNSURE"</formula1>
    </dataValidation>
  </dataValidations>
  <hyperlinks>
    <hyperlink r:id="rId1" ref="F5"/>
    <hyperlink r:id="rId2" ref="F6"/>
    <hyperlink r:id="rId3" ref="F7"/>
    <hyperlink r:id="rId4" ref="F8"/>
    <hyperlink r:id="rId5" ref="F9"/>
    <hyperlink r:id="rId6" ref="B12"/>
    <hyperlink r:id="rId7" ref="B13"/>
    <hyperlink r:id="rId8" ref="B14"/>
    <hyperlink r:id="rId9" ref="B15"/>
    <hyperlink r:id="rId10" ref="F17"/>
    <hyperlink r:id="rId11" ref="F18"/>
    <hyperlink r:id="rId12" ref="F19"/>
    <hyperlink r:id="rId13" ref="F20"/>
    <hyperlink r:id="rId14" ref="F21"/>
    <hyperlink r:id="rId15" ref="B30"/>
    <hyperlink r:id="rId16" ref="B31"/>
    <hyperlink r:id="rId17" ref="B32"/>
    <hyperlink r:id="rId18" ref="B33"/>
    <hyperlink r:id="rId19" ref="B51"/>
    <hyperlink r:id="rId20" ref="B52"/>
    <hyperlink r:id="rId21" ref="B53"/>
    <hyperlink r:id="rId22" ref="B59"/>
    <hyperlink r:id="rId23" ref="B60"/>
    <hyperlink r:id="rId24" ref="B66"/>
    <hyperlink r:id="rId25" ref="B70"/>
    <hyperlink r:id="rId26" ref="B89"/>
    <hyperlink r:id="rId27" ref="B90"/>
    <hyperlink r:id="rId28" ref="B91"/>
    <hyperlink r:id="rId29" ref="B104"/>
    <hyperlink r:id="rId30" ref="B116"/>
    <hyperlink r:id="rId31" ref="F118"/>
    <hyperlink r:id="rId32" ref="F119"/>
    <hyperlink r:id="rId33" ref="F120"/>
    <hyperlink r:id="rId34" ref="B125"/>
    <hyperlink r:id="rId35" ref="B126"/>
    <hyperlink r:id="rId36" ref="B127"/>
    <hyperlink r:id="rId37" ref="B128"/>
    <hyperlink r:id="rId38" ref="B129"/>
    <hyperlink r:id="rId39" ref="B130"/>
    <hyperlink r:id="rId40" ref="B131"/>
    <hyperlink r:id="rId41" ref="B132"/>
    <hyperlink r:id="rId42" ref="B133"/>
    <hyperlink r:id="rId43" ref="B134"/>
    <hyperlink r:id="rId44" ref="B135"/>
    <hyperlink r:id="rId45" ref="B136"/>
    <hyperlink r:id="rId46" ref="B137"/>
    <hyperlink r:id="rId47" ref="B138"/>
    <hyperlink r:id="rId48" ref="B139"/>
    <hyperlink r:id="rId49" ref="B156"/>
    <hyperlink r:id="rId50" ref="F174"/>
    <hyperlink r:id="rId51" ref="F175"/>
    <hyperlink r:id="rId52" ref="F177"/>
    <hyperlink r:id="rId53" ref="F178"/>
    <hyperlink r:id="rId54" ref="F179"/>
    <hyperlink r:id="rId55" ref="F180"/>
    <hyperlink r:id="rId56" ref="F181"/>
    <hyperlink r:id="rId57" ref="F182"/>
    <hyperlink r:id="rId58" ref="F183"/>
    <hyperlink r:id="rId59" ref="F184"/>
    <hyperlink r:id="rId60" ref="F185"/>
    <hyperlink r:id="rId61" ref="F186"/>
    <hyperlink r:id="rId62" ref="F187"/>
    <hyperlink r:id="rId63" ref="F188"/>
    <hyperlink r:id="rId64" ref="F189"/>
    <hyperlink r:id="rId65" ref="F190"/>
    <hyperlink r:id="rId66" ref="F191"/>
    <hyperlink r:id="rId67" ref="F192"/>
    <hyperlink r:id="rId68" ref="F193"/>
    <hyperlink r:id="rId69" ref="F195"/>
    <hyperlink r:id="rId70" ref="F196"/>
    <hyperlink r:id="rId71" ref="F197"/>
    <hyperlink r:id="rId72" ref="F198"/>
    <hyperlink r:id="rId73" ref="F199"/>
    <hyperlink r:id="rId74" ref="F200"/>
    <hyperlink r:id="rId75" ref="B201"/>
    <hyperlink r:id="rId76" ref="F201"/>
    <hyperlink r:id="rId77" ref="F204"/>
    <hyperlink r:id="rId78" ref="F205"/>
    <hyperlink r:id="rId79" ref="F206"/>
    <hyperlink r:id="rId80" ref="F207"/>
    <hyperlink r:id="rId81" ref="F208"/>
    <hyperlink r:id="rId82" ref="F209"/>
    <hyperlink r:id="rId83" ref="F211"/>
    <hyperlink r:id="rId84" ref="F212"/>
    <hyperlink r:id="rId85" ref="F213"/>
    <hyperlink r:id="rId86" ref="F214"/>
    <hyperlink r:id="rId87" ref="F215"/>
    <hyperlink r:id="rId88" ref="F216"/>
    <hyperlink r:id="rId89" ref="F217"/>
    <hyperlink r:id="rId90" ref="F218"/>
    <hyperlink r:id="rId91" ref="F223"/>
    <hyperlink r:id="rId92" ref="F224"/>
    <hyperlink r:id="rId93" ref="F225"/>
    <hyperlink r:id="rId94" ref="F226"/>
    <hyperlink r:id="rId95" ref="F227"/>
    <hyperlink r:id="rId96" ref="F229"/>
    <hyperlink r:id="rId97" ref="F230"/>
    <hyperlink r:id="rId98" ref="F231"/>
    <hyperlink r:id="rId99" ref="F232"/>
    <hyperlink r:id="rId100" ref="F233"/>
    <hyperlink r:id="rId101" ref="F234"/>
    <hyperlink r:id="rId102" ref="F235"/>
    <hyperlink r:id="rId103" ref="F236"/>
    <hyperlink r:id="rId104" ref="F237"/>
    <hyperlink r:id="rId105" ref="F238"/>
    <hyperlink r:id="rId106" ref="F239"/>
    <hyperlink r:id="rId107" ref="F240"/>
    <hyperlink r:id="rId108" ref="F241"/>
    <hyperlink r:id="rId109" ref="F242"/>
    <hyperlink r:id="rId110" ref="F243"/>
    <hyperlink r:id="rId111" ref="F245"/>
    <hyperlink r:id="rId112" ref="F246"/>
    <hyperlink r:id="rId113" ref="F248"/>
    <hyperlink r:id="rId114" ref="F250"/>
    <hyperlink r:id="rId115" ref="F252"/>
    <hyperlink r:id="rId116" ref="F253"/>
    <hyperlink r:id="rId117" ref="F254"/>
    <hyperlink r:id="rId118" ref="B758"/>
    <hyperlink r:id="rId119" ref="B759"/>
    <hyperlink r:id="rId120" ref="B760"/>
    <hyperlink r:id="rId121" ref="B761"/>
    <hyperlink r:id="rId122" ref="B762"/>
    <hyperlink r:id="rId123" ref="B763"/>
    <hyperlink r:id="rId124" ref="B764"/>
  </hyperlinks>
  <drawing r:id="rId1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6.13"/>
    <col customWidth="1" min="3" max="3" width="38.13"/>
    <col customWidth="1" min="5" max="5" width="33.5"/>
    <col customWidth="1" min="8" max="8" width="16.88"/>
    <col customWidth="1" min="9" max="9" width="17.38"/>
    <col customWidth="1" min="10" max="10" width="52.5"/>
  </cols>
  <sheetData>
    <row r="1">
      <c r="A1" s="173"/>
      <c r="B1" s="173"/>
      <c r="C1" s="173"/>
      <c r="D1" s="173"/>
      <c r="E1" s="173"/>
      <c r="F1" s="174"/>
      <c r="G1" s="175"/>
      <c r="H1" s="176"/>
      <c r="I1" s="175"/>
      <c r="J1" s="175"/>
      <c r="K1" s="97"/>
      <c r="L1" s="97"/>
      <c r="M1" s="97"/>
      <c r="N1" s="97"/>
      <c r="O1" s="97"/>
      <c r="P1" s="97"/>
      <c r="Q1" s="97"/>
      <c r="R1" s="97"/>
      <c r="S1" s="97"/>
      <c r="T1" s="97"/>
      <c r="U1" s="97"/>
      <c r="V1" s="97"/>
      <c r="W1" s="97"/>
      <c r="X1" s="97"/>
      <c r="Y1" s="97"/>
    </row>
    <row r="2">
      <c r="A2" s="3" t="s">
        <v>1</v>
      </c>
      <c r="B2" s="3" t="s">
        <v>2</v>
      </c>
      <c r="C2" s="3" t="s">
        <v>3</v>
      </c>
      <c r="D2" s="3" t="s">
        <v>4</v>
      </c>
      <c r="E2" s="3" t="s">
        <v>5</v>
      </c>
      <c r="F2" s="5" t="s">
        <v>6</v>
      </c>
      <c r="G2" s="6" t="s">
        <v>7</v>
      </c>
      <c r="H2" s="6" t="s">
        <v>9</v>
      </c>
      <c r="I2" s="6" t="s">
        <v>2573</v>
      </c>
      <c r="J2" s="177" t="s">
        <v>10</v>
      </c>
      <c r="K2" s="97"/>
      <c r="L2" s="97"/>
      <c r="M2" s="97"/>
      <c r="N2" s="97"/>
      <c r="O2" s="97"/>
      <c r="P2" s="97"/>
      <c r="Q2" s="97"/>
      <c r="R2" s="97"/>
      <c r="S2" s="97"/>
      <c r="T2" s="97"/>
      <c r="U2" s="97"/>
      <c r="V2" s="97"/>
      <c r="W2" s="97"/>
      <c r="X2" s="97"/>
      <c r="Y2" s="97"/>
    </row>
    <row r="3" hidden="1">
      <c r="A3" s="178" t="s">
        <v>2574</v>
      </c>
      <c r="B3" s="179"/>
      <c r="C3" s="179"/>
      <c r="D3" s="179"/>
      <c r="E3" s="180"/>
      <c r="F3" s="12"/>
      <c r="G3" s="12"/>
      <c r="H3" s="72"/>
      <c r="I3" s="12"/>
      <c r="J3" s="12"/>
      <c r="K3" s="97"/>
      <c r="L3" s="97"/>
      <c r="M3" s="97"/>
      <c r="N3" s="97"/>
      <c r="O3" s="97"/>
      <c r="P3" s="97"/>
      <c r="Q3" s="97"/>
      <c r="R3" s="97"/>
      <c r="S3" s="97"/>
      <c r="T3" s="97"/>
      <c r="U3" s="97"/>
      <c r="V3" s="97"/>
      <c r="W3" s="97"/>
      <c r="X3" s="97"/>
      <c r="Y3" s="97"/>
    </row>
    <row r="4" hidden="1">
      <c r="A4" s="181" t="s">
        <v>2575</v>
      </c>
      <c r="B4" s="179"/>
      <c r="C4" s="179"/>
      <c r="D4" s="179"/>
      <c r="E4" s="180"/>
      <c r="F4" s="115" t="b">
        <v>1</v>
      </c>
      <c r="G4" s="115" t="b">
        <v>0</v>
      </c>
      <c r="H4" s="155"/>
      <c r="I4" s="116"/>
      <c r="J4" s="116"/>
    </row>
    <row r="5">
      <c r="A5" s="66" t="s">
        <v>2576</v>
      </c>
      <c r="B5" s="22" t="s">
        <v>2577</v>
      </c>
      <c r="C5" s="22" t="s">
        <v>2578</v>
      </c>
      <c r="D5" s="22" t="s">
        <v>64</v>
      </c>
      <c r="E5" s="22" t="s">
        <v>2579</v>
      </c>
      <c r="F5" s="24" t="b">
        <f>IF(F4=TRUE,TRUE,FALSE)</f>
        <v>1</v>
      </c>
      <c r="G5" s="24" t="b">
        <v>1</v>
      </c>
      <c r="H5" s="182" t="s">
        <v>1210</v>
      </c>
      <c r="I5" s="25" t="str">
        <f>IF(G5=TRUE,I4,"")</f>
        <v/>
      </c>
      <c r="J5" s="183" t="s">
        <v>2580</v>
      </c>
      <c r="K5" s="97"/>
      <c r="L5" s="97"/>
      <c r="M5" s="97"/>
      <c r="N5" s="97"/>
      <c r="O5" s="97"/>
      <c r="P5" s="97"/>
      <c r="Q5" s="97"/>
      <c r="R5" s="97"/>
      <c r="S5" s="97"/>
      <c r="T5" s="97"/>
      <c r="U5" s="97"/>
      <c r="V5" s="97"/>
      <c r="W5" s="97"/>
      <c r="X5" s="97"/>
      <c r="Y5" s="97"/>
    </row>
    <row r="6" hidden="1">
      <c r="A6" s="184" t="s">
        <v>2581</v>
      </c>
      <c r="B6" s="25" t="s">
        <v>2577</v>
      </c>
      <c r="C6" s="25" t="s">
        <v>2582</v>
      </c>
      <c r="D6" s="25" t="s">
        <v>64</v>
      </c>
      <c r="E6" s="25" t="s">
        <v>2583</v>
      </c>
      <c r="F6" s="121" t="b">
        <f t="shared" ref="F6:G6" si="1">IF(F4=TRUE,TRUE,FALSE)</f>
        <v>1</v>
      </c>
      <c r="G6" s="121" t="b">
        <f t="shared" si="1"/>
        <v>0</v>
      </c>
      <c r="H6" s="185"/>
      <c r="I6" s="186" t="str">
        <f>IF(G6=TRUE,I4,"")</f>
        <v/>
      </c>
      <c r="J6" s="186"/>
    </row>
    <row r="7">
      <c r="A7" s="66" t="s">
        <v>2584</v>
      </c>
      <c r="B7" s="22" t="s">
        <v>2577</v>
      </c>
      <c r="C7" s="22" t="s">
        <v>2585</v>
      </c>
      <c r="D7" s="22" t="s">
        <v>15</v>
      </c>
      <c r="E7" s="22" t="s">
        <v>2586</v>
      </c>
      <c r="F7" s="24" t="b">
        <f>IF(F4=TRUE,TRUE,FALSE)</f>
        <v>1</v>
      </c>
      <c r="G7" s="24" t="b">
        <v>1</v>
      </c>
      <c r="H7" s="182" t="s">
        <v>1210</v>
      </c>
      <c r="I7" s="25" t="str">
        <f>IF(G7=TRUE,I4,"")</f>
        <v/>
      </c>
      <c r="J7" s="183" t="s">
        <v>2580</v>
      </c>
      <c r="K7" s="97"/>
      <c r="L7" s="97"/>
      <c r="M7" s="97"/>
      <c r="N7" s="97"/>
      <c r="O7" s="97"/>
      <c r="P7" s="97"/>
      <c r="Q7" s="97"/>
      <c r="R7" s="97"/>
      <c r="S7" s="97"/>
      <c r="T7" s="97"/>
      <c r="U7" s="97"/>
      <c r="V7" s="97"/>
      <c r="W7" s="97"/>
      <c r="X7" s="97"/>
      <c r="Y7" s="97"/>
    </row>
    <row r="8" hidden="1">
      <c r="A8" s="184" t="s">
        <v>2587</v>
      </c>
      <c r="B8" s="25" t="s">
        <v>2577</v>
      </c>
      <c r="C8" s="25" t="s">
        <v>2588</v>
      </c>
      <c r="D8" s="25" t="s">
        <v>64</v>
      </c>
      <c r="E8" s="25" t="s">
        <v>2589</v>
      </c>
      <c r="F8" s="121" t="b">
        <v>1</v>
      </c>
      <c r="G8" s="121" t="b">
        <f>IF(G4=TRUE,TRUE,FALSE)</f>
        <v>0</v>
      </c>
      <c r="H8" s="185"/>
      <c r="I8" s="186" t="str">
        <f>IF(G8=TRUE,I4,"")</f>
        <v/>
      </c>
      <c r="J8" s="186"/>
    </row>
    <row r="9" hidden="1">
      <c r="A9" s="187" t="s">
        <v>2590</v>
      </c>
      <c r="B9" s="30" t="s">
        <v>2577</v>
      </c>
      <c r="C9" s="30" t="s">
        <v>2591</v>
      </c>
      <c r="D9" s="30" t="s">
        <v>64</v>
      </c>
      <c r="E9" s="134"/>
      <c r="F9" s="118" t="b">
        <f t="shared" ref="F9:G9" si="2">IF(F4=TRUE,TRUE,FALSE)</f>
        <v>1</v>
      </c>
      <c r="G9" s="118" t="b">
        <f t="shared" si="2"/>
        <v>0</v>
      </c>
      <c r="H9" s="185"/>
      <c r="I9" s="186" t="str">
        <f>IF(G9=TRUE,I4,"")</f>
        <v/>
      </c>
      <c r="J9" s="186"/>
    </row>
    <row r="10">
      <c r="A10" s="66" t="s">
        <v>2592</v>
      </c>
      <c r="B10" s="22" t="s">
        <v>2577</v>
      </c>
      <c r="C10" s="22" t="s">
        <v>2593</v>
      </c>
      <c r="D10" s="22" t="s">
        <v>2594</v>
      </c>
      <c r="E10" s="22"/>
      <c r="F10" s="24" t="b">
        <f>IF(F4=TRUE,TRUE,FALSE)</f>
        <v>1</v>
      </c>
      <c r="G10" s="24" t="b">
        <v>1</v>
      </c>
      <c r="H10" s="182" t="s">
        <v>1210</v>
      </c>
      <c r="I10" s="25" t="str">
        <f>IF(G10=TRUE,I4,"")</f>
        <v/>
      </c>
      <c r="J10" s="183" t="s">
        <v>2580</v>
      </c>
      <c r="K10" s="97"/>
      <c r="L10" s="97"/>
      <c r="M10" s="97"/>
      <c r="N10" s="97"/>
      <c r="O10" s="97"/>
      <c r="P10" s="97"/>
      <c r="Q10" s="97"/>
      <c r="R10" s="97"/>
      <c r="S10" s="97"/>
      <c r="T10" s="97"/>
      <c r="U10" s="97"/>
      <c r="V10" s="97"/>
      <c r="W10" s="97"/>
      <c r="X10" s="97"/>
      <c r="Y10" s="97"/>
    </row>
    <row r="11" hidden="1">
      <c r="A11" s="181" t="s">
        <v>2595</v>
      </c>
      <c r="B11" s="179"/>
      <c r="C11" s="179"/>
      <c r="D11" s="179"/>
      <c r="E11" s="180"/>
      <c r="F11" s="115" t="b">
        <v>1</v>
      </c>
      <c r="G11" s="115" t="b">
        <v>0</v>
      </c>
      <c r="H11" s="155"/>
      <c r="I11" s="116"/>
      <c r="J11" s="116"/>
    </row>
    <row r="12">
      <c r="A12" s="66" t="s">
        <v>2596</v>
      </c>
      <c r="B12" s="22" t="s">
        <v>2597</v>
      </c>
      <c r="C12" s="22" t="s">
        <v>2598</v>
      </c>
      <c r="D12" s="22" t="s">
        <v>2599</v>
      </c>
      <c r="E12" s="22" t="s">
        <v>2600</v>
      </c>
      <c r="F12" s="24" t="b">
        <f>IF(F11=TRUE,TRUE,FALSE)</f>
        <v>1</v>
      </c>
      <c r="G12" s="24" t="b">
        <v>1</v>
      </c>
      <c r="H12" s="182" t="s">
        <v>1210</v>
      </c>
      <c r="I12" s="25" t="str">
        <f>IF(G12=TRUE,I11,"")</f>
        <v/>
      </c>
      <c r="J12" s="183" t="s">
        <v>2601</v>
      </c>
      <c r="K12" s="97"/>
      <c r="L12" s="97"/>
      <c r="M12" s="97"/>
      <c r="N12" s="97"/>
      <c r="O12" s="97"/>
      <c r="P12" s="97"/>
      <c r="Q12" s="97"/>
      <c r="R12" s="97"/>
      <c r="S12" s="97"/>
      <c r="T12" s="97"/>
      <c r="U12" s="97"/>
      <c r="V12" s="97"/>
      <c r="W12" s="97"/>
      <c r="X12" s="97"/>
      <c r="Y12" s="97"/>
    </row>
    <row r="13" hidden="1">
      <c r="A13" s="184" t="s">
        <v>2602</v>
      </c>
      <c r="B13" s="25" t="s">
        <v>2597</v>
      </c>
      <c r="C13" s="25" t="s">
        <v>2603</v>
      </c>
      <c r="D13" s="25" t="s">
        <v>64</v>
      </c>
      <c r="E13" s="25" t="s">
        <v>2600</v>
      </c>
      <c r="F13" s="121" t="b">
        <f t="shared" ref="F13:G13" si="3">IF(F11=TRUE,TRUE,FALSE)</f>
        <v>1</v>
      </c>
      <c r="G13" s="121" t="b">
        <f t="shared" si="3"/>
        <v>0</v>
      </c>
      <c r="H13" s="185"/>
      <c r="I13" s="186" t="str">
        <f>IF(G13=TRUE,I11,"")</f>
        <v/>
      </c>
      <c r="J13" s="186"/>
    </row>
    <row r="14" hidden="1">
      <c r="A14" s="181" t="s">
        <v>2604</v>
      </c>
      <c r="B14" s="179"/>
      <c r="C14" s="179"/>
      <c r="D14" s="179"/>
      <c r="E14" s="180"/>
      <c r="F14" s="115" t="b">
        <v>1</v>
      </c>
      <c r="G14" s="115" t="b">
        <v>0</v>
      </c>
      <c r="H14" s="155"/>
      <c r="I14" s="116"/>
      <c r="J14" s="116"/>
    </row>
    <row r="15" hidden="1">
      <c r="A15" s="187" t="s">
        <v>2605</v>
      </c>
      <c r="B15" s="30" t="s">
        <v>2606</v>
      </c>
      <c r="C15" s="30" t="s">
        <v>2607</v>
      </c>
      <c r="D15" s="30" t="s">
        <v>64</v>
      </c>
      <c r="E15" s="134"/>
      <c r="F15" s="118" t="b">
        <f t="shared" ref="F15:G15" si="4">IF(F14=TRUE,TRUE,FALSE)</f>
        <v>1</v>
      </c>
      <c r="G15" s="118" t="b">
        <f t="shared" si="4"/>
        <v>0</v>
      </c>
      <c r="H15" s="185"/>
      <c r="I15" s="186" t="str">
        <f>IF(G15=TRUE,I14,"")</f>
        <v/>
      </c>
      <c r="J15" s="186"/>
    </row>
    <row r="16" hidden="1">
      <c r="A16" s="181" t="s">
        <v>2608</v>
      </c>
      <c r="B16" s="179"/>
      <c r="C16" s="179"/>
      <c r="D16" s="179"/>
      <c r="E16" s="180"/>
      <c r="F16" s="115" t="b">
        <v>1</v>
      </c>
      <c r="G16" s="115" t="b">
        <v>0</v>
      </c>
      <c r="H16" s="155"/>
      <c r="I16" s="116"/>
      <c r="J16" s="116"/>
    </row>
    <row r="17" hidden="1">
      <c r="A17" s="184" t="s">
        <v>2609</v>
      </c>
      <c r="B17" s="25" t="s">
        <v>2610</v>
      </c>
      <c r="C17" s="25" t="s">
        <v>2611</v>
      </c>
      <c r="D17" s="25" t="s">
        <v>64</v>
      </c>
      <c r="E17" s="25" t="s">
        <v>2612</v>
      </c>
      <c r="F17" s="121" t="b">
        <f t="shared" ref="F17:G17" si="5">IF(F16=TRUE,TRUE,FALSE)</f>
        <v>1</v>
      </c>
      <c r="G17" s="121" t="b">
        <f t="shared" si="5"/>
        <v>0</v>
      </c>
      <c r="H17" s="185"/>
      <c r="I17" s="186" t="str">
        <f>IF(G17=TRUE,I16,"")</f>
        <v/>
      </c>
      <c r="J17" s="186"/>
    </row>
    <row r="18" hidden="1">
      <c r="A18" s="181" t="s">
        <v>2613</v>
      </c>
      <c r="B18" s="179"/>
      <c r="C18" s="179"/>
      <c r="D18" s="179"/>
      <c r="E18" s="180"/>
      <c r="F18" s="115" t="b">
        <v>1</v>
      </c>
      <c r="G18" s="115" t="b">
        <v>0</v>
      </c>
      <c r="H18" s="155"/>
      <c r="I18" s="116"/>
      <c r="J18" s="116"/>
    </row>
    <row r="19" hidden="1">
      <c r="A19" s="187" t="s">
        <v>2614</v>
      </c>
      <c r="B19" s="30" t="s">
        <v>2615</v>
      </c>
      <c r="C19" s="30" t="s">
        <v>2616</v>
      </c>
      <c r="D19" s="30" t="s">
        <v>64</v>
      </c>
      <c r="E19" s="134"/>
      <c r="F19" s="118" t="b">
        <f t="shared" ref="F19:G19" si="6">IF(F18=TRUE,TRUE,FALSE)</f>
        <v>1</v>
      </c>
      <c r="G19" s="118" t="b">
        <f t="shared" si="6"/>
        <v>0</v>
      </c>
      <c r="H19" s="185"/>
      <c r="I19" s="186" t="str">
        <f>IF(G19=TRUE,I18,"")</f>
        <v/>
      </c>
      <c r="J19" s="186"/>
    </row>
    <row r="20" hidden="1">
      <c r="A20" s="184" t="s">
        <v>2617</v>
      </c>
      <c r="B20" s="25" t="s">
        <v>2615</v>
      </c>
      <c r="C20" s="25" t="s">
        <v>2618</v>
      </c>
      <c r="D20" s="25" t="s">
        <v>64</v>
      </c>
      <c r="E20" s="133"/>
      <c r="F20" s="121" t="b">
        <f t="shared" ref="F20:G20" si="7">IF(F18=TRUE,TRUE,FALSE)</f>
        <v>1</v>
      </c>
      <c r="G20" s="121" t="b">
        <f t="shared" si="7"/>
        <v>0</v>
      </c>
      <c r="H20" s="185"/>
      <c r="I20" s="186" t="str">
        <f>IF(G20=TRUE,I18,"")</f>
        <v/>
      </c>
      <c r="J20" s="186"/>
    </row>
    <row r="21" hidden="1">
      <c r="A21" s="181" t="s">
        <v>2619</v>
      </c>
      <c r="B21" s="179"/>
      <c r="C21" s="179"/>
      <c r="D21" s="179"/>
      <c r="E21" s="180"/>
      <c r="F21" s="115" t="b">
        <v>1</v>
      </c>
      <c r="G21" s="115" t="b">
        <v>0</v>
      </c>
      <c r="H21" s="155"/>
      <c r="I21" s="116"/>
      <c r="J21" s="116"/>
    </row>
    <row r="22" hidden="1">
      <c r="A22" s="187" t="s">
        <v>2620</v>
      </c>
      <c r="B22" s="30" t="s">
        <v>2621</v>
      </c>
      <c r="C22" s="30" t="s">
        <v>2622</v>
      </c>
      <c r="D22" s="30" t="s">
        <v>64</v>
      </c>
      <c r="E22" s="134"/>
      <c r="F22" s="118" t="b">
        <f t="shared" ref="F22:G22" si="8">IF(F21=TRUE,TRUE,FALSE)</f>
        <v>1</v>
      </c>
      <c r="G22" s="118" t="b">
        <f t="shared" si="8"/>
        <v>0</v>
      </c>
      <c r="H22" s="185"/>
      <c r="I22" s="186" t="str">
        <f>IF(G22=TRUE,I21,"")</f>
        <v/>
      </c>
      <c r="J22" s="186"/>
    </row>
    <row r="23" hidden="1">
      <c r="A23" s="181" t="s">
        <v>2623</v>
      </c>
      <c r="B23" s="179"/>
      <c r="C23" s="179"/>
      <c r="D23" s="179"/>
      <c r="E23" s="180"/>
      <c r="F23" s="115" t="b">
        <v>1</v>
      </c>
      <c r="G23" s="115" t="b">
        <v>0</v>
      </c>
      <c r="H23" s="155"/>
      <c r="I23" s="116"/>
      <c r="J23" s="116"/>
    </row>
    <row r="24" hidden="1">
      <c r="A24" s="184" t="s">
        <v>2624</v>
      </c>
      <c r="B24" s="25" t="s">
        <v>2625</v>
      </c>
      <c r="C24" s="25" t="s">
        <v>2626</v>
      </c>
      <c r="D24" s="25" t="s">
        <v>64</v>
      </c>
      <c r="E24" s="133"/>
      <c r="F24" s="121" t="b">
        <f t="shared" ref="F24:G24" si="9">IF(F23=TRUE,TRUE,FALSE)</f>
        <v>1</v>
      </c>
      <c r="G24" s="121" t="b">
        <f t="shared" si="9"/>
        <v>0</v>
      </c>
      <c r="H24" s="185"/>
      <c r="I24" s="186" t="str">
        <f>IF(G24=TRUE,I23,"")</f>
        <v/>
      </c>
      <c r="J24" s="186"/>
    </row>
    <row r="25" hidden="1">
      <c r="A25" s="181" t="s">
        <v>2627</v>
      </c>
      <c r="B25" s="179"/>
      <c r="C25" s="179"/>
      <c r="D25" s="179"/>
      <c r="E25" s="180"/>
      <c r="F25" s="115" t="b">
        <v>1</v>
      </c>
      <c r="G25" s="115" t="b">
        <v>0</v>
      </c>
      <c r="H25" s="155"/>
      <c r="I25" s="116"/>
      <c r="J25" s="116"/>
    </row>
    <row r="26" hidden="1">
      <c r="A26" s="187" t="s">
        <v>2628</v>
      </c>
      <c r="B26" s="30" t="s">
        <v>2629</v>
      </c>
      <c r="C26" s="30" t="s">
        <v>2630</v>
      </c>
      <c r="D26" s="30" t="s">
        <v>64</v>
      </c>
      <c r="E26" s="134"/>
      <c r="F26" s="118" t="b">
        <f t="shared" ref="F26:G26" si="10">IF(F25=TRUE,TRUE,FALSE)</f>
        <v>1</v>
      </c>
      <c r="G26" s="118" t="b">
        <f t="shared" si="10"/>
        <v>0</v>
      </c>
      <c r="H26" s="185"/>
      <c r="I26" s="186" t="str">
        <f>IF(G26=TRUE,I25,"")</f>
        <v/>
      </c>
      <c r="J26" s="186"/>
    </row>
    <row r="27" hidden="1">
      <c r="A27" s="184" t="s">
        <v>2631</v>
      </c>
      <c r="B27" s="25" t="s">
        <v>2629</v>
      </c>
      <c r="C27" s="25" t="s">
        <v>2632</v>
      </c>
      <c r="D27" s="25" t="s">
        <v>64</v>
      </c>
      <c r="E27" s="133"/>
      <c r="F27" s="121" t="b">
        <f t="shared" ref="F27:G27" si="11">IF(F25=TRUE,TRUE,FALSE)</f>
        <v>1</v>
      </c>
      <c r="G27" s="121" t="b">
        <f t="shared" si="11"/>
        <v>0</v>
      </c>
      <c r="H27" s="185"/>
      <c r="I27" s="186" t="str">
        <f>IF(G27=TRUE,I25,"")</f>
        <v/>
      </c>
      <c r="J27" s="186"/>
    </row>
    <row r="28" hidden="1">
      <c r="A28" s="187" t="s">
        <v>2633</v>
      </c>
      <c r="B28" s="30" t="s">
        <v>2629</v>
      </c>
      <c r="C28" s="30" t="s">
        <v>2634</v>
      </c>
      <c r="D28" s="30" t="s">
        <v>64</v>
      </c>
      <c r="E28" s="134"/>
      <c r="F28" s="118" t="b">
        <f t="shared" ref="F28:G28" si="12">IF(F25=TRUE,TRUE,FALSE)</f>
        <v>1</v>
      </c>
      <c r="G28" s="118" t="b">
        <f t="shared" si="12"/>
        <v>0</v>
      </c>
      <c r="H28" s="185"/>
      <c r="I28" s="186" t="str">
        <f>IF(G28=TRUE,I25,"")</f>
        <v/>
      </c>
      <c r="J28" s="186"/>
    </row>
    <row r="29" hidden="1">
      <c r="A29" s="181" t="s">
        <v>2635</v>
      </c>
      <c r="B29" s="179"/>
      <c r="C29" s="179"/>
      <c r="D29" s="179"/>
      <c r="E29" s="180"/>
      <c r="F29" s="115" t="b">
        <v>1</v>
      </c>
      <c r="G29" s="115" t="b">
        <v>0</v>
      </c>
      <c r="H29" s="155"/>
      <c r="I29" s="116"/>
      <c r="J29" s="116"/>
    </row>
    <row r="30" hidden="1">
      <c r="A30" s="184" t="s">
        <v>2636</v>
      </c>
      <c r="B30" s="25" t="s">
        <v>2637</v>
      </c>
      <c r="C30" s="25" t="s">
        <v>2638</v>
      </c>
      <c r="D30" s="25" t="s">
        <v>64</v>
      </c>
      <c r="E30" s="133"/>
      <c r="F30" s="121" t="b">
        <f t="shared" ref="F30:G30" si="13">IF(F29=TRUE,TRUE,FALSE)</f>
        <v>1</v>
      </c>
      <c r="G30" s="121" t="b">
        <f t="shared" si="13"/>
        <v>0</v>
      </c>
      <c r="H30" s="185"/>
      <c r="I30" s="186" t="str">
        <f>IF(G30=TRUE,I29,"")</f>
        <v/>
      </c>
      <c r="J30" s="186"/>
    </row>
    <row r="31" hidden="1">
      <c r="A31" s="181" t="s">
        <v>2639</v>
      </c>
      <c r="B31" s="179"/>
      <c r="C31" s="179"/>
      <c r="D31" s="179"/>
      <c r="E31" s="180"/>
      <c r="F31" s="115" t="b">
        <v>1</v>
      </c>
      <c r="G31" s="115" t="b">
        <v>0</v>
      </c>
      <c r="H31" s="155"/>
      <c r="I31" s="116"/>
      <c r="J31" s="116"/>
    </row>
    <row r="32" hidden="1">
      <c r="A32" s="187" t="s">
        <v>2640</v>
      </c>
      <c r="B32" s="30" t="s">
        <v>2641</v>
      </c>
      <c r="C32" s="30" t="s">
        <v>2642</v>
      </c>
      <c r="D32" s="30" t="s">
        <v>64</v>
      </c>
      <c r="E32" s="134"/>
      <c r="F32" s="118" t="b">
        <f t="shared" ref="F32:G32" si="14">IF(F31=TRUE,TRUE,FALSE)</f>
        <v>1</v>
      </c>
      <c r="G32" s="118" t="b">
        <f t="shared" si="14"/>
        <v>0</v>
      </c>
      <c r="H32" s="185"/>
      <c r="I32" s="186" t="str">
        <f>IF(G32=TRUE,I31,"")</f>
        <v/>
      </c>
      <c r="J32" s="186"/>
    </row>
    <row r="33" hidden="1">
      <c r="A33" s="181" t="s">
        <v>2643</v>
      </c>
      <c r="B33" s="179"/>
      <c r="C33" s="179"/>
      <c r="D33" s="179"/>
      <c r="E33" s="180"/>
      <c r="F33" s="115" t="b">
        <v>1</v>
      </c>
      <c r="G33" s="115" t="b">
        <v>0</v>
      </c>
      <c r="H33" s="155"/>
      <c r="I33" s="116"/>
      <c r="J33" s="116"/>
    </row>
    <row r="34" hidden="1">
      <c r="A34" s="184" t="s">
        <v>2644</v>
      </c>
      <c r="B34" s="25" t="s">
        <v>2645</v>
      </c>
      <c r="C34" s="25" t="s">
        <v>2646</v>
      </c>
      <c r="D34" s="25" t="s">
        <v>64</v>
      </c>
      <c r="E34" s="133"/>
      <c r="F34" s="121" t="b">
        <f t="shared" ref="F34:G34" si="15">IF(F33=TRUE,TRUE,FALSE)</f>
        <v>1</v>
      </c>
      <c r="G34" s="121" t="b">
        <f t="shared" si="15"/>
        <v>0</v>
      </c>
      <c r="H34" s="185"/>
      <c r="I34" s="186" t="str">
        <f>IF(G34=TRUE,I33,"")</f>
        <v/>
      </c>
      <c r="J34" s="186"/>
    </row>
    <row r="35" hidden="1">
      <c r="A35" s="181" t="s">
        <v>2647</v>
      </c>
      <c r="B35" s="179"/>
      <c r="C35" s="179"/>
      <c r="D35" s="179"/>
      <c r="E35" s="180"/>
      <c r="F35" s="115" t="b">
        <v>1</v>
      </c>
      <c r="G35" s="115" t="b">
        <v>0</v>
      </c>
      <c r="H35" s="155"/>
      <c r="I35" s="116"/>
      <c r="J35" s="116"/>
    </row>
    <row r="36" hidden="1">
      <c r="A36" s="187" t="s">
        <v>2648</v>
      </c>
      <c r="B36" s="30" t="s">
        <v>2649</v>
      </c>
      <c r="C36" s="30" t="s">
        <v>2650</v>
      </c>
      <c r="D36" s="30" t="s">
        <v>64</v>
      </c>
      <c r="E36" s="134"/>
      <c r="F36" s="118" t="b">
        <f t="shared" ref="F36:G36" si="16">IF(F35=TRUE,TRUE,FALSE)</f>
        <v>1</v>
      </c>
      <c r="G36" s="118" t="b">
        <f t="shared" si="16"/>
        <v>0</v>
      </c>
      <c r="H36" s="185"/>
      <c r="I36" s="186" t="str">
        <f>IF(G36=TRUE,I35,"")</f>
        <v/>
      </c>
      <c r="J36" s="186"/>
    </row>
    <row r="37" hidden="1">
      <c r="A37" s="181" t="s">
        <v>2651</v>
      </c>
      <c r="B37" s="179"/>
      <c r="C37" s="179"/>
      <c r="D37" s="179"/>
      <c r="E37" s="180"/>
      <c r="F37" s="115" t="b">
        <v>1</v>
      </c>
      <c r="G37" s="115" t="b">
        <v>0</v>
      </c>
      <c r="H37" s="155"/>
      <c r="I37" s="116"/>
      <c r="J37" s="116"/>
    </row>
    <row r="38" hidden="1">
      <c r="A38" s="184" t="s">
        <v>2652</v>
      </c>
      <c r="B38" s="25" t="s">
        <v>2653</v>
      </c>
      <c r="C38" s="25" t="s">
        <v>2654</v>
      </c>
      <c r="D38" s="25" t="s">
        <v>64</v>
      </c>
      <c r="E38" s="133"/>
      <c r="F38" s="121" t="b">
        <f t="shared" ref="F38:G38" si="17">IF(F37=TRUE,TRUE,FALSE)</f>
        <v>1</v>
      </c>
      <c r="G38" s="121" t="b">
        <f t="shared" si="17"/>
        <v>0</v>
      </c>
      <c r="H38" s="185"/>
      <c r="I38" s="186" t="str">
        <f>IF(G38=TRUE,I37,"")</f>
        <v/>
      </c>
      <c r="J38" s="186"/>
    </row>
    <row r="39" hidden="1">
      <c r="A39" s="187" t="s">
        <v>2655</v>
      </c>
      <c r="B39" s="30" t="s">
        <v>2653</v>
      </c>
      <c r="C39" s="30" t="s">
        <v>2656</v>
      </c>
      <c r="D39" s="30" t="s">
        <v>64</v>
      </c>
      <c r="E39" s="30" t="s">
        <v>2657</v>
      </c>
      <c r="F39" s="118" t="b">
        <f t="shared" ref="F39:G39" si="18">IF(F37=TRUE,TRUE,FALSE)</f>
        <v>1</v>
      </c>
      <c r="G39" s="118" t="b">
        <f t="shared" si="18"/>
        <v>0</v>
      </c>
      <c r="H39" s="185"/>
      <c r="I39" s="186" t="str">
        <f>IF(G39=TRUE,I37,"")</f>
        <v/>
      </c>
      <c r="J39" s="186"/>
    </row>
    <row r="40" hidden="1">
      <c r="A40" s="181" t="s">
        <v>2658</v>
      </c>
      <c r="B40" s="179"/>
      <c r="C40" s="179"/>
      <c r="D40" s="179"/>
      <c r="E40" s="180"/>
      <c r="F40" s="115" t="b">
        <v>1</v>
      </c>
      <c r="G40" s="115" t="b">
        <v>0</v>
      </c>
      <c r="H40" s="155"/>
      <c r="I40" s="116"/>
      <c r="J40" s="116"/>
    </row>
    <row r="41" hidden="1">
      <c r="A41" s="184" t="s">
        <v>2659</v>
      </c>
      <c r="B41" s="25" t="s">
        <v>2660</v>
      </c>
      <c r="C41" s="25" t="s">
        <v>2661</v>
      </c>
      <c r="D41" s="25" t="s">
        <v>64</v>
      </c>
      <c r="E41" s="133"/>
      <c r="F41" s="121" t="b">
        <f t="shared" ref="F41:G41" si="19">IF(F40=TRUE,TRUE,FALSE)</f>
        <v>1</v>
      </c>
      <c r="G41" s="121" t="b">
        <f t="shared" si="19"/>
        <v>0</v>
      </c>
      <c r="H41" s="185"/>
      <c r="I41" s="186" t="str">
        <f>IF(G41=TRUE,I40,"")</f>
        <v/>
      </c>
      <c r="J41" s="186"/>
    </row>
    <row r="42" hidden="1">
      <c r="A42" s="187" t="s">
        <v>2662</v>
      </c>
      <c r="B42" s="30" t="s">
        <v>2660</v>
      </c>
      <c r="C42" s="30" t="s">
        <v>2663</v>
      </c>
      <c r="D42" s="30" t="s">
        <v>64</v>
      </c>
      <c r="E42" s="134"/>
      <c r="F42" s="118" t="b">
        <f t="shared" ref="F42:G42" si="20">IF(F40=TRUE,TRUE,FALSE)</f>
        <v>1</v>
      </c>
      <c r="G42" s="118" t="b">
        <f t="shared" si="20"/>
        <v>0</v>
      </c>
      <c r="H42" s="185"/>
      <c r="I42" s="186" t="str">
        <f>IF(G42=TRUE,I40,"")</f>
        <v/>
      </c>
      <c r="J42" s="186"/>
    </row>
    <row r="43" hidden="1">
      <c r="A43" s="178" t="s">
        <v>2664</v>
      </c>
      <c r="B43" s="179"/>
      <c r="C43" s="179"/>
      <c r="D43" s="179"/>
      <c r="E43" s="180"/>
      <c r="F43" s="12"/>
      <c r="G43" s="12"/>
      <c r="H43" s="72"/>
      <c r="I43" s="12"/>
      <c r="J43" s="12"/>
      <c r="K43" s="97"/>
      <c r="L43" s="97"/>
      <c r="M43" s="97"/>
      <c r="N43" s="97"/>
      <c r="O43" s="97"/>
      <c r="P43" s="97"/>
      <c r="Q43" s="97"/>
      <c r="R43" s="97"/>
      <c r="S43" s="97"/>
      <c r="T43" s="97"/>
      <c r="U43" s="97"/>
      <c r="V43" s="97"/>
      <c r="W43" s="97"/>
      <c r="X43" s="97"/>
      <c r="Y43" s="97"/>
    </row>
    <row r="44" hidden="1">
      <c r="A44" s="181" t="s">
        <v>2665</v>
      </c>
      <c r="B44" s="179"/>
      <c r="C44" s="179"/>
      <c r="D44" s="179"/>
      <c r="E44" s="180"/>
      <c r="F44" s="115" t="b">
        <v>1</v>
      </c>
      <c r="G44" s="115" t="b">
        <v>0</v>
      </c>
      <c r="H44" s="155"/>
      <c r="I44" s="116"/>
      <c r="J44" s="116"/>
    </row>
    <row r="45" hidden="1">
      <c r="A45" s="66" t="s">
        <v>2666</v>
      </c>
      <c r="B45" s="22" t="s">
        <v>2667</v>
      </c>
      <c r="C45" s="22" t="s">
        <v>2668</v>
      </c>
      <c r="D45" s="22" t="s">
        <v>2669</v>
      </c>
      <c r="E45" s="22"/>
      <c r="F45" s="24" t="b">
        <f>IF(F44=TRUE,TRUE,FALSE)</f>
        <v>1</v>
      </c>
      <c r="G45" s="24" t="b">
        <v>1</v>
      </c>
      <c r="H45" s="182" t="s">
        <v>1248</v>
      </c>
      <c r="I45" s="25" t="str">
        <f>IF(G45=TRUE,I44,"")</f>
        <v/>
      </c>
      <c r="J45" s="183" t="s">
        <v>2670</v>
      </c>
      <c r="K45" s="97"/>
      <c r="L45" s="97"/>
      <c r="M45" s="97"/>
      <c r="N45" s="97"/>
      <c r="O45" s="97"/>
      <c r="P45" s="97"/>
      <c r="Q45" s="97"/>
      <c r="R45" s="97"/>
      <c r="S45" s="97"/>
      <c r="T45" s="97"/>
      <c r="U45" s="97"/>
      <c r="V45" s="97"/>
      <c r="W45" s="97"/>
      <c r="X45" s="97"/>
      <c r="Y45" s="97"/>
    </row>
    <row r="46" hidden="1">
      <c r="A46" s="187" t="s">
        <v>2671</v>
      </c>
      <c r="B46" s="30" t="s">
        <v>2667</v>
      </c>
      <c r="C46" s="30" t="s">
        <v>2672</v>
      </c>
      <c r="D46" s="30" t="s">
        <v>64</v>
      </c>
      <c r="E46" s="134"/>
      <c r="F46" s="118" t="b">
        <f t="shared" ref="F46:G46" si="21">IF(F44=TRUE,TRUE,FALSE)</f>
        <v>1</v>
      </c>
      <c r="G46" s="118" t="b">
        <f t="shared" si="21"/>
        <v>0</v>
      </c>
      <c r="H46" s="185"/>
      <c r="I46" s="186" t="str">
        <f>IF(G46=TRUE,I44,"")</f>
        <v/>
      </c>
      <c r="J46" s="186"/>
    </row>
    <row r="47" hidden="1">
      <c r="A47" s="184" t="s">
        <v>2673</v>
      </c>
      <c r="B47" s="25" t="s">
        <v>2667</v>
      </c>
      <c r="C47" s="25" t="s">
        <v>2674</v>
      </c>
      <c r="D47" s="25" t="s">
        <v>64</v>
      </c>
      <c r="E47" s="133"/>
      <c r="F47" s="121" t="b">
        <f t="shared" ref="F47:G47" si="22">IF(F44=TRUE,TRUE,FALSE)</f>
        <v>1</v>
      </c>
      <c r="G47" s="121" t="b">
        <f t="shared" si="22"/>
        <v>0</v>
      </c>
      <c r="H47" s="185"/>
      <c r="I47" s="186" t="str">
        <f>IF(G47=TRUE,I44,"")</f>
        <v/>
      </c>
      <c r="J47" s="186"/>
    </row>
    <row r="48" hidden="1">
      <c r="A48" s="187" t="s">
        <v>2675</v>
      </c>
      <c r="B48" s="30" t="s">
        <v>2667</v>
      </c>
      <c r="C48" s="30" t="s">
        <v>2676</v>
      </c>
      <c r="D48" s="30" t="s">
        <v>64</v>
      </c>
      <c r="E48" s="134"/>
      <c r="F48" s="118" t="b">
        <f t="shared" ref="F48:G48" si="23">IF(F44=TRUE,TRUE,FALSE)</f>
        <v>1</v>
      </c>
      <c r="G48" s="118" t="b">
        <f t="shared" si="23"/>
        <v>0</v>
      </c>
      <c r="H48" s="185"/>
      <c r="I48" s="186" t="str">
        <f>IF(G48=TRUE,I44,"")</f>
        <v/>
      </c>
      <c r="J48" s="186"/>
    </row>
    <row r="49" hidden="1">
      <c r="A49" s="184" t="s">
        <v>2677</v>
      </c>
      <c r="B49" s="25" t="s">
        <v>2667</v>
      </c>
      <c r="C49" s="25" t="s">
        <v>2678</v>
      </c>
      <c r="D49" s="25" t="s">
        <v>64</v>
      </c>
      <c r="E49" s="133"/>
      <c r="F49" s="121" t="b">
        <f t="shared" ref="F49:G49" si="24">IF(F44=TRUE,TRUE,FALSE)</f>
        <v>1</v>
      </c>
      <c r="G49" s="121" t="b">
        <f t="shared" si="24"/>
        <v>0</v>
      </c>
      <c r="H49" s="185"/>
      <c r="I49" s="186" t="str">
        <f>IF(G49=TRUE,I44,"")</f>
        <v/>
      </c>
      <c r="J49" s="186"/>
    </row>
    <row r="50" hidden="1">
      <c r="A50" s="187" t="s">
        <v>2679</v>
      </c>
      <c r="B50" s="30" t="s">
        <v>2667</v>
      </c>
      <c r="C50" s="30" t="s">
        <v>2680</v>
      </c>
      <c r="D50" s="30" t="s">
        <v>64</v>
      </c>
      <c r="E50" s="134"/>
      <c r="F50" s="118" t="b">
        <f t="shared" ref="F50:G50" si="25">IF(F44=TRUE,TRUE,FALSE)</f>
        <v>1</v>
      </c>
      <c r="G50" s="118" t="b">
        <f t="shared" si="25"/>
        <v>0</v>
      </c>
      <c r="H50" s="185"/>
      <c r="I50" s="186" t="str">
        <f>IF(G50=TRUE,I44,"")</f>
        <v/>
      </c>
      <c r="J50" s="186"/>
    </row>
    <row r="51" hidden="1">
      <c r="A51" s="181" t="s">
        <v>2681</v>
      </c>
      <c r="B51" s="179"/>
      <c r="C51" s="179"/>
      <c r="D51" s="179"/>
      <c r="E51" s="180"/>
      <c r="F51" s="115" t="b">
        <v>1</v>
      </c>
      <c r="G51" s="115" t="b">
        <v>0</v>
      </c>
      <c r="H51" s="155"/>
      <c r="I51" s="116"/>
      <c r="J51" s="116"/>
    </row>
    <row r="52" hidden="1">
      <c r="A52" s="66" t="s">
        <v>2682</v>
      </c>
      <c r="B52" s="22" t="s">
        <v>2683</v>
      </c>
      <c r="C52" s="22" t="s">
        <v>2684</v>
      </c>
      <c r="D52" s="22" t="s">
        <v>64</v>
      </c>
      <c r="E52" s="22" t="s">
        <v>2685</v>
      </c>
      <c r="F52" s="24" t="b">
        <f>IF(F51=TRUE,TRUE,FALSE)</f>
        <v>1</v>
      </c>
      <c r="G52" s="24" t="b">
        <v>1</v>
      </c>
      <c r="H52" s="182" t="s">
        <v>1248</v>
      </c>
      <c r="I52" s="25" t="str">
        <f>IF(G52=TRUE,I51,"")</f>
        <v/>
      </c>
      <c r="J52" s="183" t="s">
        <v>2686</v>
      </c>
      <c r="K52" s="97"/>
      <c r="L52" s="97"/>
      <c r="M52" s="97"/>
      <c r="N52" s="97"/>
      <c r="O52" s="97"/>
      <c r="P52" s="97"/>
      <c r="Q52" s="97"/>
      <c r="R52" s="97"/>
      <c r="S52" s="97"/>
      <c r="T52" s="97"/>
      <c r="U52" s="97"/>
      <c r="V52" s="97"/>
      <c r="W52" s="97"/>
      <c r="X52" s="97"/>
      <c r="Y52" s="97"/>
    </row>
    <row r="53" hidden="1">
      <c r="A53" s="181" t="s">
        <v>2687</v>
      </c>
      <c r="B53" s="179"/>
      <c r="C53" s="179"/>
      <c r="D53" s="179"/>
      <c r="E53" s="180"/>
      <c r="F53" s="115" t="b">
        <v>1</v>
      </c>
      <c r="G53" s="115" t="b">
        <v>0</v>
      </c>
      <c r="H53" s="155"/>
      <c r="I53" s="116"/>
      <c r="J53" s="116"/>
    </row>
    <row r="54" hidden="1">
      <c r="A54" s="187" t="s">
        <v>2688</v>
      </c>
      <c r="B54" s="30" t="s">
        <v>2689</v>
      </c>
      <c r="C54" s="30" t="s">
        <v>2690</v>
      </c>
      <c r="D54" s="30" t="s">
        <v>64</v>
      </c>
      <c r="E54" s="134"/>
      <c r="F54" s="118" t="b">
        <f t="shared" ref="F54:G54" si="26">IF(F53=TRUE,TRUE,FALSE)</f>
        <v>1</v>
      </c>
      <c r="G54" s="118" t="b">
        <f t="shared" si="26"/>
        <v>0</v>
      </c>
      <c r="H54" s="185"/>
      <c r="I54" s="186" t="str">
        <f>IF(G54=TRUE,I53,"")</f>
        <v/>
      </c>
      <c r="J54" s="186"/>
    </row>
    <row r="55" hidden="1">
      <c r="A55" s="184" t="s">
        <v>2691</v>
      </c>
      <c r="B55" s="25" t="s">
        <v>2692</v>
      </c>
      <c r="C55" s="25" t="s">
        <v>2693</v>
      </c>
      <c r="D55" s="25" t="s">
        <v>64</v>
      </c>
      <c r="E55" s="133"/>
      <c r="F55" s="121" t="b">
        <f t="shared" ref="F55:G55" si="27">IF(F53=TRUE,TRUE,FALSE)</f>
        <v>1</v>
      </c>
      <c r="G55" s="121" t="b">
        <f t="shared" si="27"/>
        <v>0</v>
      </c>
      <c r="H55" s="185"/>
      <c r="I55" s="186" t="str">
        <f>IF(G55=TRUE,I53,"")</f>
        <v/>
      </c>
      <c r="J55" s="186"/>
    </row>
    <row r="56" hidden="1">
      <c r="A56" s="181" t="s">
        <v>2694</v>
      </c>
      <c r="B56" s="179"/>
      <c r="C56" s="179"/>
      <c r="D56" s="179"/>
      <c r="E56" s="180"/>
      <c r="F56" s="115" t="b">
        <v>1</v>
      </c>
      <c r="G56" s="115" t="b">
        <v>0</v>
      </c>
      <c r="H56" s="155"/>
      <c r="I56" s="116"/>
      <c r="J56" s="116"/>
    </row>
    <row r="57" hidden="1">
      <c r="A57" s="187" t="s">
        <v>2695</v>
      </c>
      <c r="B57" s="30" t="s">
        <v>2696</v>
      </c>
      <c r="C57" s="30" t="s">
        <v>2697</v>
      </c>
      <c r="D57" s="30" t="s">
        <v>64</v>
      </c>
      <c r="E57" s="134"/>
      <c r="F57" s="118" t="b">
        <f t="shared" ref="F57:G57" si="28">IF(F56=TRUE,TRUE,FALSE)</f>
        <v>1</v>
      </c>
      <c r="G57" s="118" t="b">
        <f t="shared" si="28"/>
        <v>0</v>
      </c>
      <c r="H57" s="185"/>
      <c r="I57" s="186" t="str">
        <f>IF(G57=TRUE,I56,"")</f>
        <v/>
      </c>
      <c r="J57" s="186"/>
    </row>
    <row r="58" hidden="1">
      <c r="A58" s="181" t="s">
        <v>2698</v>
      </c>
      <c r="B58" s="179"/>
      <c r="C58" s="179"/>
      <c r="D58" s="179"/>
      <c r="E58" s="180"/>
      <c r="F58" s="115" t="b">
        <v>1</v>
      </c>
      <c r="G58" s="115" t="b">
        <v>0</v>
      </c>
      <c r="H58" s="155"/>
      <c r="I58" s="116"/>
      <c r="J58" s="116"/>
    </row>
    <row r="59" hidden="1">
      <c r="A59" s="184" t="s">
        <v>2699</v>
      </c>
      <c r="B59" s="25" t="s">
        <v>2700</v>
      </c>
      <c r="C59" s="25" t="s">
        <v>2701</v>
      </c>
      <c r="D59" s="25" t="s">
        <v>64</v>
      </c>
      <c r="E59" s="25" t="s">
        <v>2702</v>
      </c>
      <c r="F59" s="121" t="b">
        <f t="shared" ref="F59:G59" si="29">IF(F58=TRUE,TRUE,FALSE)</f>
        <v>1</v>
      </c>
      <c r="G59" s="121" t="b">
        <f t="shared" si="29"/>
        <v>0</v>
      </c>
      <c r="H59" s="188" t="s">
        <v>533</v>
      </c>
      <c r="I59" s="186" t="str">
        <f>IF(G59=TRUE,I58,"")</f>
        <v/>
      </c>
      <c r="J59" s="189" t="s">
        <v>2703</v>
      </c>
    </row>
    <row r="60" hidden="1">
      <c r="A60" s="187" t="s">
        <v>2704</v>
      </c>
      <c r="B60" s="30" t="s">
        <v>2700</v>
      </c>
      <c r="C60" s="30" t="s">
        <v>2705</v>
      </c>
      <c r="D60" s="30" t="s">
        <v>15</v>
      </c>
      <c r="E60" s="30" t="s">
        <v>2586</v>
      </c>
      <c r="F60" s="118" t="b">
        <f t="shared" ref="F60:G60" si="30">IF(F58=TRUE,TRUE,FALSE)</f>
        <v>1</v>
      </c>
      <c r="G60" s="118" t="b">
        <f t="shared" si="30"/>
        <v>0</v>
      </c>
      <c r="H60" s="188" t="s">
        <v>533</v>
      </c>
      <c r="I60" s="186" t="str">
        <f>IF(G60=TRUE,I58,"")</f>
        <v/>
      </c>
      <c r="J60" s="189" t="s">
        <v>2703</v>
      </c>
    </row>
    <row r="61" hidden="1">
      <c r="A61" s="181" t="s">
        <v>2706</v>
      </c>
      <c r="B61" s="179"/>
      <c r="C61" s="179"/>
      <c r="D61" s="179"/>
      <c r="E61" s="180"/>
      <c r="F61" s="115" t="b">
        <v>1</v>
      </c>
      <c r="G61" s="115" t="b">
        <v>0</v>
      </c>
      <c r="H61" s="155"/>
      <c r="I61" s="116"/>
      <c r="J61" s="116"/>
    </row>
    <row r="62" hidden="1">
      <c r="A62" s="184" t="s">
        <v>2707</v>
      </c>
      <c r="B62" s="25" t="s">
        <v>2708</v>
      </c>
      <c r="C62" s="25" t="s">
        <v>2709</v>
      </c>
      <c r="D62" s="25" t="s">
        <v>64</v>
      </c>
      <c r="E62" s="133"/>
      <c r="F62" s="121" t="b">
        <f t="shared" ref="F62:G62" si="31">IF(F61=TRUE,TRUE,FALSE)</f>
        <v>1</v>
      </c>
      <c r="G62" s="121" t="b">
        <f t="shared" si="31"/>
        <v>0</v>
      </c>
      <c r="H62" s="185"/>
      <c r="I62" s="186" t="str">
        <f>IF(G62=TRUE,I61,"")</f>
        <v/>
      </c>
      <c r="J62" s="186"/>
    </row>
    <row r="63" hidden="1">
      <c r="A63" s="181" t="s">
        <v>2710</v>
      </c>
      <c r="B63" s="179"/>
      <c r="C63" s="179"/>
      <c r="D63" s="179"/>
      <c r="E63" s="180"/>
      <c r="F63" s="115" t="b">
        <v>1</v>
      </c>
      <c r="G63" s="115" t="b">
        <v>0</v>
      </c>
      <c r="H63" s="155"/>
      <c r="I63" s="116"/>
      <c r="J63" s="116"/>
    </row>
    <row r="64" hidden="1">
      <c r="A64" s="187" t="s">
        <v>2711</v>
      </c>
      <c r="B64" s="30" t="s">
        <v>2712</v>
      </c>
      <c r="C64" s="30" t="s">
        <v>2713</v>
      </c>
      <c r="D64" s="30" t="s">
        <v>64</v>
      </c>
      <c r="E64" s="134"/>
      <c r="F64" s="118" t="b">
        <f t="shared" ref="F64:G64" si="32">IF(F63=TRUE,TRUE,FALSE)</f>
        <v>1</v>
      </c>
      <c r="G64" s="118" t="b">
        <f t="shared" si="32"/>
        <v>0</v>
      </c>
      <c r="H64" s="185"/>
      <c r="I64" s="186" t="str">
        <f>IF(G64=TRUE,I63,"")</f>
        <v/>
      </c>
      <c r="J64" s="186"/>
    </row>
    <row r="65" hidden="1">
      <c r="A65" s="181" t="s">
        <v>2714</v>
      </c>
      <c r="B65" s="179"/>
      <c r="C65" s="179"/>
      <c r="D65" s="179"/>
      <c r="E65" s="180"/>
      <c r="F65" s="115" t="b">
        <v>1</v>
      </c>
      <c r="G65" s="115" t="b">
        <v>0</v>
      </c>
      <c r="H65" s="155"/>
      <c r="I65" s="116"/>
      <c r="J65" s="116"/>
    </row>
    <row r="66" hidden="1">
      <c r="A66" s="184" t="s">
        <v>2715</v>
      </c>
      <c r="B66" s="25" t="s">
        <v>2716</v>
      </c>
      <c r="C66" s="25" t="s">
        <v>2717</v>
      </c>
      <c r="D66" s="25" t="s">
        <v>64</v>
      </c>
      <c r="E66" s="133"/>
      <c r="F66" s="121" t="b">
        <f t="shared" ref="F66:G66" si="33">IF(F65=TRUE,TRUE,FALSE)</f>
        <v>1</v>
      </c>
      <c r="G66" s="121" t="b">
        <f t="shared" si="33"/>
        <v>0</v>
      </c>
      <c r="H66" s="185"/>
      <c r="I66" s="186" t="str">
        <f>IF(G66=TRUE,I65,"")</f>
        <v/>
      </c>
      <c r="J66" s="186"/>
    </row>
    <row r="67" hidden="1">
      <c r="A67" s="178" t="s">
        <v>2718</v>
      </c>
      <c r="B67" s="179"/>
      <c r="C67" s="179"/>
      <c r="D67" s="179"/>
      <c r="E67" s="180"/>
      <c r="F67" s="12"/>
      <c r="G67" s="12"/>
      <c r="H67" s="72"/>
      <c r="I67" s="12"/>
      <c r="J67" s="12"/>
      <c r="K67" s="97"/>
      <c r="L67" s="97"/>
      <c r="M67" s="97"/>
      <c r="N67" s="97"/>
      <c r="O67" s="97"/>
      <c r="P67" s="97"/>
      <c r="Q67" s="97"/>
      <c r="R67" s="97"/>
      <c r="S67" s="97"/>
      <c r="T67" s="97"/>
      <c r="U67" s="97"/>
      <c r="V67" s="97"/>
      <c r="W67" s="97"/>
      <c r="X67" s="97"/>
      <c r="Y67" s="97"/>
    </row>
    <row r="68" hidden="1">
      <c r="A68" s="181" t="s">
        <v>2719</v>
      </c>
      <c r="B68" s="179"/>
      <c r="C68" s="179"/>
      <c r="D68" s="179"/>
      <c r="E68" s="180"/>
      <c r="F68" s="115" t="b">
        <v>1</v>
      </c>
      <c r="G68" s="115" t="b">
        <v>0</v>
      </c>
      <c r="H68" s="155"/>
      <c r="I68" s="116"/>
      <c r="J68" s="116"/>
    </row>
    <row r="69" hidden="1">
      <c r="A69" s="187" t="s">
        <v>2720</v>
      </c>
      <c r="B69" s="30" t="s">
        <v>2721</v>
      </c>
      <c r="C69" s="30" t="s">
        <v>2722</v>
      </c>
      <c r="D69" s="30" t="s">
        <v>64</v>
      </c>
      <c r="E69" s="134"/>
      <c r="F69" s="118" t="b">
        <f t="shared" ref="F69:G69" si="34">IF(F68=TRUE,TRUE,FALSE)</f>
        <v>1</v>
      </c>
      <c r="G69" s="118" t="b">
        <f t="shared" si="34"/>
        <v>0</v>
      </c>
      <c r="H69" s="185"/>
      <c r="I69" s="186" t="str">
        <f>IF(G69=TRUE,I68,"")</f>
        <v/>
      </c>
      <c r="J69" s="186"/>
    </row>
    <row r="70" hidden="1">
      <c r="A70" s="184" t="s">
        <v>2723</v>
      </c>
      <c r="B70" s="25" t="s">
        <v>2721</v>
      </c>
      <c r="C70" s="25" t="s">
        <v>2724</v>
      </c>
      <c r="D70" s="25" t="s">
        <v>64</v>
      </c>
      <c r="E70" s="133"/>
      <c r="F70" s="121" t="b">
        <f t="shared" ref="F70:G70" si="35">IF(F68=TRUE,TRUE,FALSE)</f>
        <v>1</v>
      </c>
      <c r="G70" s="121" t="b">
        <f t="shared" si="35"/>
        <v>0</v>
      </c>
      <c r="H70" s="185"/>
      <c r="I70" s="186" t="str">
        <f>IF(G70=TRUE,I68,"")</f>
        <v/>
      </c>
      <c r="J70" s="186"/>
    </row>
    <row r="71" hidden="1">
      <c r="A71" s="187" t="s">
        <v>2725</v>
      </c>
      <c r="B71" s="30" t="s">
        <v>2721</v>
      </c>
      <c r="C71" s="30" t="s">
        <v>2726</v>
      </c>
      <c r="D71" s="30" t="s">
        <v>64</v>
      </c>
      <c r="E71" s="134"/>
      <c r="F71" s="118" t="b">
        <f t="shared" ref="F71:G71" si="36">IF(F68=TRUE,TRUE,FALSE)</f>
        <v>1</v>
      </c>
      <c r="G71" s="118" t="b">
        <f t="shared" si="36"/>
        <v>0</v>
      </c>
      <c r="H71" s="185"/>
      <c r="I71" s="186" t="str">
        <f>IF(G71=TRUE,I68,"")</f>
        <v/>
      </c>
      <c r="J71" s="186"/>
    </row>
    <row r="72" hidden="1">
      <c r="A72" s="184" t="s">
        <v>2727</v>
      </c>
      <c r="B72" s="25" t="s">
        <v>2721</v>
      </c>
      <c r="C72" s="25" t="s">
        <v>2728</v>
      </c>
      <c r="D72" s="25" t="s">
        <v>64</v>
      </c>
      <c r="E72" s="133"/>
      <c r="F72" s="121" t="b">
        <f t="shared" ref="F72:G72" si="37">IF(F68=TRUE,TRUE,FALSE)</f>
        <v>1</v>
      </c>
      <c r="G72" s="121" t="b">
        <f t="shared" si="37"/>
        <v>0</v>
      </c>
      <c r="H72" s="185"/>
      <c r="I72" s="186" t="str">
        <f>IF(G72=TRUE,I68,"")</f>
        <v/>
      </c>
      <c r="J72" s="186"/>
    </row>
    <row r="73" hidden="1">
      <c r="A73" s="187" t="s">
        <v>2729</v>
      </c>
      <c r="B73" s="30" t="s">
        <v>2721</v>
      </c>
      <c r="C73" s="30" t="s">
        <v>2730</v>
      </c>
      <c r="D73" s="30" t="s">
        <v>64</v>
      </c>
      <c r="E73" s="134"/>
      <c r="F73" s="118" t="b">
        <f t="shared" ref="F73:G73" si="38">IF(F68=TRUE,TRUE,FALSE)</f>
        <v>1</v>
      </c>
      <c r="G73" s="118" t="b">
        <f t="shared" si="38"/>
        <v>0</v>
      </c>
      <c r="H73" s="185"/>
      <c r="I73" s="186" t="str">
        <f>IF(G73=TRUE,I68,"")</f>
        <v/>
      </c>
      <c r="J73" s="186"/>
    </row>
    <row r="74" hidden="1">
      <c r="A74" s="184" t="s">
        <v>2731</v>
      </c>
      <c r="B74" s="25" t="s">
        <v>2721</v>
      </c>
      <c r="C74" s="25" t="s">
        <v>2732</v>
      </c>
      <c r="D74" s="25" t="s">
        <v>64</v>
      </c>
      <c r="E74" s="133"/>
      <c r="F74" s="121" t="b">
        <f t="shared" ref="F74:G74" si="39">IF(F68=TRUE,TRUE,FALSE)</f>
        <v>1</v>
      </c>
      <c r="G74" s="121" t="b">
        <f t="shared" si="39"/>
        <v>0</v>
      </c>
      <c r="H74" s="185"/>
      <c r="I74" s="186" t="str">
        <f>IF(G74=TRUE,I68,"")</f>
        <v/>
      </c>
      <c r="J74" s="186"/>
    </row>
    <row r="75" hidden="1">
      <c r="A75" s="181" t="s">
        <v>2733</v>
      </c>
      <c r="B75" s="179"/>
      <c r="C75" s="179"/>
      <c r="D75" s="179"/>
      <c r="E75" s="180"/>
      <c r="F75" s="115" t="b">
        <v>1</v>
      </c>
      <c r="G75" s="115" t="b">
        <v>0</v>
      </c>
      <c r="H75" s="155"/>
      <c r="I75" s="116"/>
      <c r="J75" s="116"/>
    </row>
    <row r="76" hidden="1">
      <c r="A76" s="187" t="s">
        <v>2734</v>
      </c>
      <c r="B76" s="30" t="s">
        <v>2735</v>
      </c>
      <c r="C76" s="30" t="s">
        <v>2736</v>
      </c>
      <c r="D76" s="30" t="s">
        <v>64</v>
      </c>
      <c r="E76" s="134"/>
      <c r="F76" s="118" t="b">
        <f t="shared" ref="F76:G76" si="40">IF(F75=TRUE,TRUE,FALSE)</f>
        <v>1</v>
      </c>
      <c r="G76" s="118" t="b">
        <f t="shared" si="40"/>
        <v>0</v>
      </c>
      <c r="H76" s="185"/>
      <c r="I76" s="186" t="str">
        <f>IF(G76=TRUE,I75,"")</f>
        <v/>
      </c>
      <c r="J76" s="186"/>
    </row>
    <row r="77" hidden="1">
      <c r="A77" s="184" t="s">
        <v>2737</v>
      </c>
      <c r="B77" s="25" t="s">
        <v>2735</v>
      </c>
      <c r="C77" s="25" t="s">
        <v>2738</v>
      </c>
      <c r="D77" s="25" t="s">
        <v>64</v>
      </c>
      <c r="E77" s="25" t="s">
        <v>2739</v>
      </c>
      <c r="F77" s="121" t="b">
        <f t="shared" ref="F77:G77" si="41">IF(F75=TRUE,TRUE,FALSE)</f>
        <v>1</v>
      </c>
      <c r="G77" s="121" t="b">
        <f t="shared" si="41"/>
        <v>0</v>
      </c>
      <c r="H77" s="185"/>
      <c r="I77" s="186" t="str">
        <f>IF(G77=TRUE,I75,"")</f>
        <v/>
      </c>
      <c r="J77" s="186"/>
    </row>
    <row r="78" hidden="1">
      <c r="A78" s="181" t="s">
        <v>2740</v>
      </c>
      <c r="B78" s="179"/>
      <c r="C78" s="179"/>
      <c r="D78" s="179"/>
      <c r="E78" s="180"/>
      <c r="F78" s="115" t="b">
        <v>1</v>
      </c>
      <c r="G78" s="115" t="b">
        <v>0</v>
      </c>
      <c r="H78" s="155"/>
      <c r="I78" s="116"/>
      <c r="J78" s="116"/>
    </row>
    <row r="79" hidden="1">
      <c r="A79" s="187" t="s">
        <v>2741</v>
      </c>
      <c r="B79" s="30" t="s">
        <v>2742</v>
      </c>
      <c r="C79" s="30" t="s">
        <v>2743</v>
      </c>
      <c r="D79" s="30" t="s">
        <v>64</v>
      </c>
      <c r="E79" s="134"/>
      <c r="F79" s="118" t="b">
        <f t="shared" ref="F79:G79" si="42">IF(F78=TRUE,TRUE,FALSE)</f>
        <v>1</v>
      </c>
      <c r="G79" s="118" t="b">
        <f t="shared" si="42"/>
        <v>0</v>
      </c>
      <c r="H79" s="185"/>
      <c r="I79" s="186" t="str">
        <f>IF(G79=TRUE,I78,"")</f>
        <v/>
      </c>
      <c r="J79" s="186"/>
    </row>
    <row r="80" hidden="1">
      <c r="A80" s="184" t="s">
        <v>2744</v>
      </c>
      <c r="B80" s="25" t="s">
        <v>2742</v>
      </c>
      <c r="C80" s="25" t="s">
        <v>2745</v>
      </c>
      <c r="D80" s="25" t="s">
        <v>64</v>
      </c>
      <c r="E80" s="133"/>
      <c r="F80" s="121" t="b">
        <f t="shared" ref="F80:G80" si="43">IF(F78=TRUE,TRUE,FALSE)</f>
        <v>1</v>
      </c>
      <c r="G80" s="121" t="b">
        <f t="shared" si="43"/>
        <v>0</v>
      </c>
      <c r="H80" s="185"/>
      <c r="I80" s="186" t="str">
        <f>IF(G80=TRUE,I78,"")</f>
        <v/>
      </c>
      <c r="J80" s="186"/>
    </row>
    <row r="81" hidden="1">
      <c r="A81" s="187" t="s">
        <v>2746</v>
      </c>
      <c r="B81" s="30" t="s">
        <v>2742</v>
      </c>
      <c r="C81" s="30" t="s">
        <v>2747</v>
      </c>
      <c r="D81" s="30" t="s">
        <v>64</v>
      </c>
      <c r="E81" s="134"/>
      <c r="F81" s="118" t="b">
        <f t="shared" ref="F81:G81" si="44">IF(F78=TRUE,TRUE,FALSE)</f>
        <v>1</v>
      </c>
      <c r="G81" s="118" t="b">
        <f t="shared" si="44"/>
        <v>0</v>
      </c>
      <c r="H81" s="185"/>
      <c r="I81" s="186" t="str">
        <f>IF(G81=TRUE,I78,"")</f>
        <v/>
      </c>
      <c r="J81" s="186"/>
    </row>
    <row r="82" hidden="1">
      <c r="A82" s="184" t="s">
        <v>2748</v>
      </c>
      <c r="B82" s="25" t="s">
        <v>2742</v>
      </c>
      <c r="C82" s="25" t="s">
        <v>2749</v>
      </c>
      <c r="D82" s="25" t="s">
        <v>64</v>
      </c>
      <c r="E82" s="133"/>
      <c r="F82" s="121" t="b">
        <f t="shared" ref="F82:G82" si="45">IF(F78=TRUE,TRUE,FALSE)</f>
        <v>1</v>
      </c>
      <c r="G82" s="121" t="b">
        <f t="shared" si="45"/>
        <v>0</v>
      </c>
      <c r="H82" s="185"/>
      <c r="I82" s="186" t="str">
        <f>IF(G82=TRUE,I78,"")</f>
        <v/>
      </c>
      <c r="J82" s="186"/>
    </row>
    <row r="83" hidden="1">
      <c r="A83" s="187" t="s">
        <v>2750</v>
      </c>
      <c r="B83" s="30" t="s">
        <v>2742</v>
      </c>
      <c r="C83" s="30" t="s">
        <v>2751</v>
      </c>
      <c r="D83" s="30" t="s">
        <v>64</v>
      </c>
      <c r="E83" s="134"/>
      <c r="F83" s="118" t="b">
        <f t="shared" ref="F83:G83" si="46">IF(F78=TRUE,TRUE,FALSE)</f>
        <v>1</v>
      </c>
      <c r="G83" s="118" t="b">
        <f t="shared" si="46"/>
        <v>0</v>
      </c>
      <c r="H83" s="185"/>
      <c r="I83" s="186" t="str">
        <f>IF(G83=TRUE,I78,"")</f>
        <v/>
      </c>
      <c r="J83" s="186"/>
    </row>
    <row r="84" hidden="1">
      <c r="A84" s="184" t="s">
        <v>2752</v>
      </c>
      <c r="B84" s="25" t="s">
        <v>2742</v>
      </c>
      <c r="C84" s="25" t="s">
        <v>2753</v>
      </c>
      <c r="D84" s="25" t="s">
        <v>64</v>
      </c>
      <c r="E84" s="133"/>
      <c r="F84" s="121" t="b">
        <f t="shared" ref="F84:G84" si="47">IF(F78=TRUE,TRUE,FALSE)</f>
        <v>1</v>
      </c>
      <c r="G84" s="121" t="b">
        <f t="shared" si="47"/>
        <v>0</v>
      </c>
      <c r="H84" s="185"/>
      <c r="I84" s="186" t="str">
        <f>IF(G84=TRUE,I78,"")</f>
        <v/>
      </c>
      <c r="J84" s="186"/>
    </row>
    <row r="85" hidden="1">
      <c r="A85" s="187" t="s">
        <v>2754</v>
      </c>
      <c r="B85" s="30" t="s">
        <v>2742</v>
      </c>
      <c r="C85" s="30" t="s">
        <v>2755</v>
      </c>
      <c r="D85" s="30" t="s">
        <v>64</v>
      </c>
      <c r="E85" s="134"/>
      <c r="F85" s="118" t="b">
        <f t="shared" ref="F85:G85" si="48">IF(F78=TRUE,TRUE,FALSE)</f>
        <v>1</v>
      </c>
      <c r="G85" s="118" t="b">
        <f t="shared" si="48"/>
        <v>0</v>
      </c>
      <c r="H85" s="185"/>
      <c r="I85" s="186" t="str">
        <f>IF(G85=TRUE,I78,"")</f>
        <v/>
      </c>
      <c r="J85" s="186"/>
    </row>
    <row r="86" hidden="1">
      <c r="A86" s="184" t="s">
        <v>2756</v>
      </c>
      <c r="B86" s="25" t="s">
        <v>2742</v>
      </c>
      <c r="C86" s="25" t="s">
        <v>2757</v>
      </c>
      <c r="D86" s="25" t="s">
        <v>64</v>
      </c>
      <c r="E86" s="133"/>
      <c r="F86" s="121" t="b">
        <f t="shared" ref="F86:G86" si="49">IF(F78=TRUE,TRUE,FALSE)</f>
        <v>1</v>
      </c>
      <c r="G86" s="121" t="b">
        <f t="shared" si="49"/>
        <v>0</v>
      </c>
      <c r="H86" s="185"/>
      <c r="I86" s="186" t="str">
        <f>IF(G86=TRUE,I78,"")</f>
        <v/>
      </c>
      <c r="J86" s="186"/>
    </row>
    <row r="87" hidden="1">
      <c r="A87" s="187" t="s">
        <v>2758</v>
      </c>
      <c r="B87" s="30" t="s">
        <v>2742</v>
      </c>
      <c r="C87" s="30" t="s">
        <v>2759</v>
      </c>
      <c r="D87" s="30" t="s">
        <v>64</v>
      </c>
      <c r="E87" s="134"/>
      <c r="F87" s="118" t="b">
        <f t="shared" ref="F87:G87" si="50">IF(F78=TRUE,TRUE,FALSE)</f>
        <v>1</v>
      </c>
      <c r="G87" s="118" t="b">
        <f t="shared" si="50"/>
        <v>0</v>
      </c>
      <c r="H87" s="185"/>
      <c r="I87" s="186" t="str">
        <f>IF(G87=TRUE,I78,"")</f>
        <v/>
      </c>
      <c r="J87" s="186"/>
    </row>
    <row r="88" hidden="1">
      <c r="A88" s="181" t="s">
        <v>2760</v>
      </c>
      <c r="B88" s="179"/>
      <c r="C88" s="179"/>
      <c r="D88" s="179"/>
      <c r="E88" s="180"/>
      <c r="F88" s="115" t="b">
        <v>1</v>
      </c>
      <c r="G88" s="115" t="b">
        <v>0</v>
      </c>
      <c r="H88" s="155"/>
      <c r="I88" s="116"/>
      <c r="J88" s="116"/>
    </row>
    <row r="89" hidden="1">
      <c r="A89" s="184" t="s">
        <v>2761</v>
      </c>
      <c r="B89" s="25" t="s">
        <v>2762</v>
      </c>
      <c r="C89" s="25" t="s">
        <v>2763</v>
      </c>
      <c r="D89" s="25" t="s">
        <v>64</v>
      </c>
      <c r="E89" s="133"/>
      <c r="F89" s="121" t="b">
        <f t="shared" ref="F89:G89" si="51">IF(F88=TRUE,TRUE,FALSE)</f>
        <v>1</v>
      </c>
      <c r="G89" s="121" t="b">
        <f t="shared" si="51"/>
        <v>0</v>
      </c>
      <c r="H89" s="185"/>
      <c r="I89" s="186" t="str">
        <f>IF(G89=TRUE,I88,"")</f>
        <v/>
      </c>
      <c r="J89" s="186"/>
    </row>
    <row r="90" hidden="1">
      <c r="A90" s="181" t="s">
        <v>2764</v>
      </c>
      <c r="B90" s="179"/>
      <c r="C90" s="179"/>
      <c r="D90" s="179"/>
      <c r="E90" s="180"/>
      <c r="F90" s="115" t="b">
        <v>1</v>
      </c>
      <c r="G90" s="115" t="b">
        <v>0</v>
      </c>
      <c r="H90" s="155"/>
      <c r="I90" s="116"/>
      <c r="J90" s="116"/>
    </row>
    <row r="91" hidden="1">
      <c r="A91" s="187" t="s">
        <v>2765</v>
      </c>
      <c r="B91" s="30" t="s">
        <v>2766</v>
      </c>
      <c r="C91" s="30" t="s">
        <v>2767</v>
      </c>
      <c r="D91" s="30" t="s">
        <v>64</v>
      </c>
      <c r="E91" s="134"/>
      <c r="F91" s="118" t="b">
        <f t="shared" ref="F91:G91" si="52">IF(F90=TRUE,TRUE,FALSE)</f>
        <v>1</v>
      </c>
      <c r="G91" s="118" t="b">
        <f t="shared" si="52"/>
        <v>0</v>
      </c>
      <c r="H91" s="185"/>
      <c r="I91" s="186" t="str">
        <f>IF(G91=TRUE,I90,"")</f>
        <v/>
      </c>
      <c r="J91" s="186"/>
    </row>
    <row r="92" hidden="1">
      <c r="A92" s="181" t="s">
        <v>2768</v>
      </c>
      <c r="B92" s="179"/>
      <c r="C92" s="179"/>
      <c r="D92" s="179"/>
      <c r="E92" s="180"/>
      <c r="F92" s="115" t="b">
        <v>1</v>
      </c>
      <c r="G92" s="115" t="b">
        <v>0</v>
      </c>
      <c r="H92" s="155"/>
      <c r="I92" s="116"/>
      <c r="J92" s="116"/>
    </row>
    <row r="93" hidden="1">
      <c r="A93" s="184" t="s">
        <v>2769</v>
      </c>
      <c r="B93" s="25" t="s">
        <v>2770</v>
      </c>
      <c r="C93" s="25" t="s">
        <v>2771</v>
      </c>
      <c r="D93" s="25" t="s">
        <v>64</v>
      </c>
      <c r="E93" s="133"/>
      <c r="F93" s="121" t="b">
        <f t="shared" ref="F93:G93" si="53">IF(F92=TRUE,TRUE,FALSE)</f>
        <v>1</v>
      </c>
      <c r="G93" s="121" t="b">
        <f t="shared" si="53"/>
        <v>0</v>
      </c>
      <c r="H93" s="185"/>
      <c r="I93" s="186" t="str">
        <f>IF(G93=TRUE,I92,"")</f>
        <v/>
      </c>
      <c r="J93" s="186"/>
    </row>
    <row r="94" hidden="1">
      <c r="A94" s="187" t="s">
        <v>2772</v>
      </c>
      <c r="B94" s="30" t="s">
        <v>2773</v>
      </c>
      <c r="C94" s="30" t="s">
        <v>2774</v>
      </c>
      <c r="D94" s="30" t="s">
        <v>64</v>
      </c>
      <c r="E94" s="134"/>
      <c r="F94" s="118" t="b">
        <f t="shared" ref="F94:G94" si="54">IF(F92=TRUE,TRUE,FALSE)</f>
        <v>1</v>
      </c>
      <c r="G94" s="118" t="b">
        <f t="shared" si="54"/>
        <v>0</v>
      </c>
      <c r="H94" s="185"/>
      <c r="I94" s="186" t="str">
        <f>IF(G94=TRUE,I92,"")</f>
        <v/>
      </c>
      <c r="J94" s="186"/>
    </row>
    <row r="95" hidden="1">
      <c r="A95" s="181" t="s">
        <v>2775</v>
      </c>
      <c r="B95" s="179"/>
      <c r="C95" s="179"/>
      <c r="D95" s="179"/>
      <c r="E95" s="180"/>
      <c r="F95" s="115" t="b">
        <v>1</v>
      </c>
      <c r="G95" s="115" t="b">
        <v>0</v>
      </c>
      <c r="H95" s="155"/>
      <c r="I95" s="116"/>
      <c r="J95" s="116"/>
    </row>
    <row r="96">
      <c r="A96" s="66" t="s">
        <v>2776</v>
      </c>
      <c r="B96" s="22" t="s">
        <v>2777</v>
      </c>
      <c r="C96" s="22" t="s">
        <v>2778</v>
      </c>
      <c r="D96" s="22" t="s">
        <v>2779</v>
      </c>
      <c r="E96" s="22" t="s">
        <v>2600</v>
      </c>
      <c r="F96" s="24" t="b">
        <f>IF(F95=TRUE,TRUE,FALSE)</f>
        <v>1</v>
      </c>
      <c r="G96" s="24" t="b">
        <v>1</v>
      </c>
      <c r="H96" s="182" t="s">
        <v>1210</v>
      </c>
      <c r="I96" s="25" t="str">
        <f>IF(G96=TRUE,I95,"")</f>
        <v/>
      </c>
      <c r="J96" s="190" t="s">
        <v>2780</v>
      </c>
      <c r="K96" s="97"/>
      <c r="L96" s="97"/>
      <c r="M96" s="97"/>
      <c r="N96" s="97"/>
      <c r="O96" s="97"/>
      <c r="P96" s="97"/>
      <c r="Q96" s="97"/>
      <c r="R96" s="97"/>
      <c r="S96" s="97"/>
      <c r="T96" s="97"/>
      <c r="U96" s="97"/>
      <c r="V96" s="97"/>
      <c r="W96" s="97"/>
      <c r="X96" s="97"/>
      <c r="Y96" s="97"/>
    </row>
    <row r="97" hidden="1">
      <c r="A97" s="187" t="s">
        <v>2781</v>
      </c>
      <c r="B97" s="30" t="s">
        <v>2777</v>
      </c>
      <c r="C97" s="30" t="s">
        <v>2782</v>
      </c>
      <c r="D97" s="30" t="s">
        <v>64</v>
      </c>
      <c r="E97" s="134"/>
      <c r="F97" s="118" t="b">
        <f t="shared" ref="F97:G97" si="55">IF(F95=TRUE,TRUE,FALSE)</f>
        <v>1</v>
      </c>
      <c r="G97" s="118" t="b">
        <f t="shared" si="55"/>
        <v>0</v>
      </c>
      <c r="H97" s="191" t="s">
        <v>1210</v>
      </c>
      <c r="I97" s="186" t="str">
        <f>IF(G97=TRUE,I95,"")</f>
        <v/>
      </c>
      <c r="J97" s="189" t="s">
        <v>2783</v>
      </c>
    </row>
    <row r="98" hidden="1">
      <c r="A98" s="184" t="s">
        <v>2784</v>
      </c>
      <c r="B98" s="25" t="s">
        <v>2785</v>
      </c>
      <c r="C98" s="25" t="s">
        <v>2786</v>
      </c>
      <c r="D98" s="25" t="s">
        <v>64</v>
      </c>
      <c r="E98" s="133"/>
      <c r="F98" s="121" t="b">
        <f t="shared" ref="F98:G98" si="56">IF(F95=TRUE,TRUE,FALSE)</f>
        <v>1</v>
      </c>
      <c r="G98" s="121" t="b">
        <f t="shared" si="56"/>
        <v>0</v>
      </c>
      <c r="H98" s="185"/>
      <c r="I98" s="186" t="str">
        <f>IF(G98=TRUE,I95,"")</f>
        <v/>
      </c>
      <c r="J98" s="186"/>
    </row>
    <row r="99" hidden="1">
      <c r="A99" s="181" t="s">
        <v>2787</v>
      </c>
      <c r="B99" s="179"/>
      <c r="C99" s="179"/>
      <c r="D99" s="179"/>
      <c r="E99" s="180"/>
      <c r="F99" s="115" t="b">
        <v>1</v>
      </c>
      <c r="G99" s="115" t="b">
        <v>0</v>
      </c>
      <c r="H99" s="155"/>
      <c r="I99" s="116"/>
      <c r="J99" s="116"/>
    </row>
    <row r="100" hidden="1">
      <c r="A100" s="187" t="s">
        <v>2788</v>
      </c>
      <c r="B100" s="30" t="s">
        <v>2789</v>
      </c>
      <c r="C100" s="30" t="s">
        <v>2790</v>
      </c>
      <c r="D100" s="30" t="s">
        <v>64</v>
      </c>
      <c r="E100" s="30" t="s">
        <v>2600</v>
      </c>
      <c r="F100" s="118" t="b">
        <f t="shared" ref="F100:G100" si="57">IF(F99=TRUE,TRUE,FALSE)</f>
        <v>1</v>
      </c>
      <c r="G100" s="118" t="b">
        <f t="shared" si="57"/>
        <v>0</v>
      </c>
      <c r="H100" s="185"/>
      <c r="I100" s="186" t="str">
        <f>IF(G100=TRUE,I99,"")</f>
        <v/>
      </c>
      <c r="J100" s="186"/>
    </row>
    <row r="101" hidden="1">
      <c r="A101" s="184" t="s">
        <v>2791</v>
      </c>
      <c r="B101" s="25" t="s">
        <v>2789</v>
      </c>
      <c r="C101" s="25" t="s">
        <v>2792</v>
      </c>
      <c r="D101" s="25" t="s">
        <v>64</v>
      </c>
      <c r="E101" s="133"/>
      <c r="F101" s="121" t="b">
        <f t="shared" ref="F101:G101" si="58">IF(F99=TRUE,TRUE,FALSE)</f>
        <v>1</v>
      </c>
      <c r="G101" s="121" t="b">
        <f t="shared" si="58"/>
        <v>0</v>
      </c>
      <c r="H101" s="185"/>
      <c r="I101" s="186" t="str">
        <f>IF(G101=TRUE,I99,"")</f>
        <v/>
      </c>
      <c r="J101" s="186"/>
    </row>
    <row r="102" hidden="1">
      <c r="A102" s="187" t="s">
        <v>2793</v>
      </c>
      <c r="B102" s="30" t="s">
        <v>2789</v>
      </c>
      <c r="C102" s="30" t="s">
        <v>2794</v>
      </c>
      <c r="D102" s="30" t="s">
        <v>64</v>
      </c>
      <c r="E102" s="134"/>
      <c r="F102" s="118" t="b">
        <f t="shared" ref="F102:G102" si="59">IF(F99=TRUE,TRUE,FALSE)</f>
        <v>1</v>
      </c>
      <c r="G102" s="118" t="b">
        <f t="shared" si="59"/>
        <v>0</v>
      </c>
      <c r="H102" s="185"/>
      <c r="I102" s="186" t="str">
        <f>IF(G102=TRUE,I99,"")</f>
        <v/>
      </c>
      <c r="J102" s="186"/>
    </row>
    <row r="103" hidden="1">
      <c r="A103" s="184" t="s">
        <v>2795</v>
      </c>
      <c r="B103" s="25" t="s">
        <v>2789</v>
      </c>
      <c r="C103" s="25" t="s">
        <v>2796</v>
      </c>
      <c r="D103" s="25" t="s">
        <v>64</v>
      </c>
      <c r="E103" s="133"/>
      <c r="F103" s="121" t="b">
        <f t="shared" ref="F103:G103" si="60">IF(F99=TRUE,TRUE,FALSE)</f>
        <v>1</v>
      </c>
      <c r="G103" s="121" t="b">
        <f t="shared" si="60"/>
        <v>0</v>
      </c>
      <c r="H103" s="185"/>
      <c r="I103" s="186" t="str">
        <f>IF(G103=TRUE,I99,"")</f>
        <v/>
      </c>
      <c r="J103" s="186"/>
    </row>
    <row r="104" hidden="1">
      <c r="A104" s="181" t="s">
        <v>2797</v>
      </c>
      <c r="B104" s="179"/>
      <c r="C104" s="179"/>
      <c r="D104" s="179"/>
      <c r="E104" s="180"/>
      <c r="F104" s="115" t="b">
        <v>1</v>
      </c>
      <c r="G104" s="115" t="b">
        <v>0</v>
      </c>
      <c r="H104" s="155"/>
      <c r="I104" s="116"/>
      <c r="J104" s="116"/>
    </row>
    <row r="105" hidden="1">
      <c r="A105" s="187" t="s">
        <v>2798</v>
      </c>
      <c r="B105" s="30" t="s">
        <v>2799</v>
      </c>
      <c r="C105" s="30" t="s">
        <v>2800</v>
      </c>
      <c r="D105" s="30" t="s">
        <v>64</v>
      </c>
      <c r="E105" s="134"/>
      <c r="F105" s="118" t="b">
        <f t="shared" ref="F105:G105" si="61">IF(F104=TRUE,TRUE,FALSE)</f>
        <v>1</v>
      </c>
      <c r="G105" s="118" t="b">
        <f t="shared" si="61"/>
        <v>0</v>
      </c>
      <c r="H105" s="185"/>
      <c r="I105" s="186" t="str">
        <f>IF(G105=TRUE,I104,"")</f>
        <v/>
      </c>
      <c r="J105" s="186"/>
    </row>
    <row r="106" hidden="1">
      <c r="A106" s="181" t="s">
        <v>2801</v>
      </c>
      <c r="B106" s="179"/>
      <c r="C106" s="179"/>
      <c r="D106" s="179"/>
      <c r="E106" s="180"/>
      <c r="F106" s="115" t="b">
        <v>1</v>
      </c>
      <c r="G106" s="115" t="b">
        <v>0</v>
      </c>
      <c r="H106" s="155"/>
      <c r="I106" s="116"/>
      <c r="J106" s="116"/>
    </row>
    <row r="107" hidden="1">
      <c r="A107" s="184" t="s">
        <v>2802</v>
      </c>
      <c r="B107" s="25" t="s">
        <v>2803</v>
      </c>
      <c r="C107" s="25" t="s">
        <v>2804</v>
      </c>
      <c r="D107" s="25" t="s">
        <v>64</v>
      </c>
      <c r="E107" s="133"/>
      <c r="F107" s="121" t="b">
        <f t="shared" ref="F107:G107" si="62">IF(F106=TRUE,TRUE,FALSE)</f>
        <v>1</v>
      </c>
      <c r="G107" s="121" t="b">
        <f t="shared" si="62"/>
        <v>0</v>
      </c>
      <c r="H107" s="185"/>
      <c r="I107" s="186" t="str">
        <f>IF(G107=TRUE,I106,"")</f>
        <v/>
      </c>
      <c r="J107" s="186"/>
    </row>
    <row r="108" hidden="1">
      <c r="A108" s="178" t="s">
        <v>2805</v>
      </c>
      <c r="B108" s="179"/>
      <c r="C108" s="179"/>
      <c r="D108" s="179"/>
      <c r="E108" s="180"/>
      <c r="F108" s="12"/>
      <c r="G108" s="12"/>
      <c r="H108" s="72"/>
      <c r="I108" s="12"/>
      <c r="J108" s="12"/>
      <c r="K108" s="97"/>
      <c r="L108" s="97"/>
      <c r="M108" s="97"/>
      <c r="N108" s="97"/>
      <c r="O108" s="97"/>
      <c r="P108" s="97"/>
      <c r="Q108" s="97"/>
      <c r="R108" s="97"/>
      <c r="S108" s="97"/>
      <c r="T108" s="97"/>
      <c r="U108" s="97"/>
      <c r="V108" s="97"/>
      <c r="W108" s="97"/>
      <c r="X108" s="97"/>
      <c r="Y108" s="97"/>
    </row>
    <row r="109" hidden="1">
      <c r="A109" s="181" t="s">
        <v>2806</v>
      </c>
      <c r="B109" s="179"/>
      <c r="C109" s="179"/>
      <c r="D109" s="179"/>
      <c r="E109" s="180"/>
      <c r="F109" s="115" t="b">
        <v>1</v>
      </c>
      <c r="G109" s="115" t="b">
        <v>0</v>
      </c>
      <c r="H109" s="155"/>
      <c r="I109" s="116"/>
      <c r="J109" s="116"/>
    </row>
    <row r="110">
      <c r="A110" s="66" t="s">
        <v>2807</v>
      </c>
      <c r="B110" s="22" t="s">
        <v>1447</v>
      </c>
      <c r="C110" s="22" t="s">
        <v>2808</v>
      </c>
      <c r="D110" s="22" t="s">
        <v>15</v>
      </c>
      <c r="E110" s="22" t="s">
        <v>2809</v>
      </c>
      <c r="F110" s="24" t="b">
        <f>IF(F109=TRUE,TRUE,FALSE)</f>
        <v>1</v>
      </c>
      <c r="G110" s="24" t="b">
        <v>1</v>
      </c>
      <c r="H110" s="182" t="s">
        <v>1210</v>
      </c>
      <c r="I110" s="25" t="str">
        <f>IF(G110=TRUE,I109,"")</f>
        <v/>
      </c>
      <c r="J110" s="183" t="s">
        <v>2810</v>
      </c>
      <c r="K110" s="97"/>
      <c r="L110" s="97"/>
      <c r="M110" s="97"/>
      <c r="N110" s="97"/>
      <c r="O110" s="97"/>
      <c r="P110" s="97"/>
      <c r="Q110" s="97"/>
      <c r="R110" s="97"/>
      <c r="S110" s="97"/>
      <c r="T110" s="97"/>
      <c r="U110" s="97"/>
      <c r="V110" s="97"/>
      <c r="W110" s="97"/>
      <c r="X110" s="97"/>
      <c r="Y110" s="97"/>
    </row>
    <row r="111" hidden="1">
      <c r="A111" s="184" t="s">
        <v>2811</v>
      </c>
      <c r="B111" s="25" t="s">
        <v>1447</v>
      </c>
      <c r="C111" s="25" t="s">
        <v>2812</v>
      </c>
      <c r="D111" s="25" t="s">
        <v>64</v>
      </c>
      <c r="E111" s="133"/>
      <c r="F111" s="121" t="b">
        <f t="shared" ref="F111:G111" si="63">IF(F109=TRUE,TRUE,FALSE)</f>
        <v>1</v>
      </c>
      <c r="G111" s="121" t="b">
        <f t="shared" si="63"/>
        <v>0</v>
      </c>
      <c r="H111" s="185"/>
      <c r="I111" s="186" t="str">
        <f>IF(G111=TRUE,I109,"")</f>
        <v/>
      </c>
      <c r="J111" s="186"/>
    </row>
    <row r="112" hidden="1">
      <c r="A112" s="187" t="s">
        <v>2813</v>
      </c>
      <c r="B112" s="30" t="s">
        <v>1447</v>
      </c>
      <c r="C112" s="30" t="s">
        <v>2814</v>
      </c>
      <c r="D112" s="30" t="s">
        <v>64</v>
      </c>
      <c r="E112" s="134"/>
      <c r="F112" s="118" t="b">
        <f t="shared" ref="F112:G112" si="64">IF(F109=TRUE,TRUE,FALSE)</f>
        <v>1</v>
      </c>
      <c r="G112" s="118" t="b">
        <f t="shared" si="64"/>
        <v>0</v>
      </c>
      <c r="H112" s="185"/>
      <c r="I112" s="186" t="str">
        <f>IF(G112=TRUE,I109,"")</f>
        <v/>
      </c>
      <c r="J112" s="186"/>
    </row>
    <row r="113" hidden="1">
      <c r="A113" s="184" t="s">
        <v>2815</v>
      </c>
      <c r="B113" s="25" t="s">
        <v>1447</v>
      </c>
      <c r="C113" s="25" t="s">
        <v>2816</v>
      </c>
      <c r="D113" s="25" t="s">
        <v>64</v>
      </c>
      <c r="E113" s="133"/>
      <c r="F113" s="121" t="b">
        <f t="shared" ref="F113:G113" si="65">IF(F109=TRUE,TRUE,FALSE)</f>
        <v>1</v>
      </c>
      <c r="G113" s="121" t="b">
        <f t="shared" si="65"/>
        <v>0</v>
      </c>
      <c r="H113" s="185"/>
      <c r="I113" s="186" t="str">
        <f>IF(G113=TRUE,I109,"")</f>
        <v/>
      </c>
      <c r="J113" s="186"/>
    </row>
    <row r="114" hidden="1">
      <c r="A114" s="187" t="s">
        <v>2817</v>
      </c>
      <c r="B114" s="30" t="s">
        <v>1447</v>
      </c>
      <c r="C114" s="30" t="s">
        <v>2818</v>
      </c>
      <c r="D114" s="30" t="s">
        <v>64</v>
      </c>
      <c r="E114" s="134"/>
      <c r="F114" s="118" t="b">
        <f t="shared" ref="F114:G114" si="66">IF(F109=TRUE,TRUE,FALSE)</f>
        <v>1</v>
      </c>
      <c r="G114" s="118" t="b">
        <f t="shared" si="66"/>
        <v>0</v>
      </c>
      <c r="H114" s="185"/>
      <c r="I114" s="186" t="str">
        <f>IF(G114=TRUE,I109,"")</f>
        <v/>
      </c>
      <c r="J114" s="186"/>
    </row>
    <row r="115" hidden="1">
      <c r="A115" s="181" t="s">
        <v>2819</v>
      </c>
      <c r="B115" s="179"/>
      <c r="C115" s="179"/>
      <c r="D115" s="179"/>
      <c r="E115" s="180"/>
      <c r="F115" s="115" t="b">
        <v>1</v>
      </c>
      <c r="G115" s="115" t="b">
        <v>0</v>
      </c>
      <c r="H115" s="155"/>
      <c r="I115" s="116"/>
      <c r="J115" s="116"/>
    </row>
    <row r="116" hidden="1">
      <c r="A116" s="192" t="s">
        <v>2820</v>
      </c>
      <c r="B116" s="51" t="s">
        <v>2821</v>
      </c>
      <c r="C116" s="51" t="s">
        <v>2822</v>
      </c>
      <c r="D116" s="51" t="s">
        <v>2823</v>
      </c>
      <c r="E116" s="51"/>
      <c r="F116" s="53" t="b">
        <f>IF(F115=TRUE,TRUE,FALSE)</f>
        <v>1</v>
      </c>
      <c r="G116" s="53" t="s">
        <v>1519</v>
      </c>
      <c r="H116" s="182" t="s">
        <v>1248</v>
      </c>
      <c r="I116" s="51" t="str">
        <f>IF(G116=TRUE,I115,"")</f>
        <v/>
      </c>
      <c r="J116" s="193" t="s">
        <v>2824</v>
      </c>
      <c r="K116" s="97"/>
      <c r="L116" s="97"/>
      <c r="M116" s="97"/>
      <c r="N116" s="97"/>
      <c r="O116" s="97"/>
      <c r="P116" s="97"/>
      <c r="Q116" s="97"/>
      <c r="R116" s="97"/>
      <c r="S116" s="97"/>
      <c r="T116" s="97"/>
      <c r="U116" s="97"/>
      <c r="V116" s="97"/>
      <c r="W116" s="97"/>
      <c r="X116" s="97"/>
      <c r="Y116" s="97"/>
    </row>
    <row r="117" hidden="1">
      <c r="A117" s="181" t="s">
        <v>2825</v>
      </c>
      <c r="B117" s="179"/>
      <c r="C117" s="179"/>
      <c r="D117" s="179"/>
      <c r="E117" s="180"/>
      <c r="F117" s="115" t="b">
        <v>1</v>
      </c>
      <c r="G117" s="115" t="b">
        <v>0</v>
      </c>
      <c r="H117" s="155"/>
      <c r="I117" s="116"/>
      <c r="J117" s="116"/>
    </row>
    <row r="118" hidden="1">
      <c r="A118" s="187" t="s">
        <v>2826</v>
      </c>
      <c r="B118" s="30" t="s">
        <v>2827</v>
      </c>
      <c r="C118" s="30" t="s">
        <v>2828</v>
      </c>
      <c r="D118" s="30" t="s">
        <v>64</v>
      </c>
      <c r="E118" s="134"/>
      <c r="F118" s="118" t="b">
        <f t="shared" ref="F118:G118" si="67">IF(F117=TRUE,TRUE,FALSE)</f>
        <v>1</v>
      </c>
      <c r="G118" s="118" t="b">
        <f t="shared" si="67"/>
        <v>0</v>
      </c>
      <c r="H118" s="185"/>
      <c r="I118" s="186" t="str">
        <f>IF(G118=TRUE,I117,"")</f>
        <v/>
      </c>
      <c r="J118" s="186"/>
    </row>
    <row r="119" hidden="1">
      <c r="A119" s="181" t="s">
        <v>2829</v>
      </c>
      <c r="B119" s="179"/>
      <c r="C119" s="179"/>
      <c r="D119" s="179"/>
      <c r="E119" s="180"/>
      <c r="F119" s="115" t="b">
        <v>1</v>
      </c>
      <c r="G119" s="115" t="b">
        <v>0</v>
      </c>
      <c r="H119" s="155"/>
      <c r="I119" s="116"/>
      <c r="J119" s="116"/>
    </row>
    <row r="120" hidden="1">
      <c r="A120" s="184" t="s">
        <v>2830</v>
      </c>
      <c r="B120" s="25" t="s">
        <v>2831</v>
      </c>
      <c r="C120" s="25" t="s">
        <v>2832</v>
      </c>
      <c r="D120" s="25" t="s">
        <v>64</v>
      </c>
      <c r="E120" s="133"/>
      <c r="F120" s="121" t="b">
        <f t="shared" ref="F120:G120" si="68">IF(F119=TRUE,TRUE,FALSE)</f>
        <v>1</v>
      </c>
      <c r="G120" s="121" t="b">
        <f t="shared" si="68"/>
        <v>0</v>
      </c>
      <c r="H120" s="185"/>
      <c r="I120" s="186" t="str">
        <f>IF(G120=TRUE,I119,"")</f>
        <v/>
      </c>
      <c r="J120" s="186"/>
    </row>
    <row r="121" hidden="1">
      <c r="A121" s="66" t="s">
        <v>2833</v>
      </c>
      <c r="B121" s="22" t="s">
        <v>2831</v>
      </c>
      <c r="C121" s="22" t="s">
        <v>2834</v>
      </c>
      <c r="D121" s="22" t="s">
        <v>15</v>
      </c>
      <c r="E121" s="22" t="s">
        <v>2835</v>
      </c>
      <c r="F121" s="24" t="b">
        <f>IF(F119=TRUE,TRUE,FALSE)</f>
        <v>1</v>
      </c>
      <c r="G121" s="24" t="b">
        <v>1</v>
      </c>
      <c r="H121" s="182" t="s">
        <v>1235</v>
      </c>
      <c r="I121" s="25" t="str">
        <f>IF(G121=TRUE,I119,"")</f>
        <v/>
      </c>
      <c r="J121" s="193" t="s">
        <v>2836</v>
      </c>
      <c r="K121" s="97"/>
      <c r="L121" s="97"/>
      <c r="M121" s="97"/>
      <c r="N121" s="97"/>
      <c r="O121" s="97"/>
      <c r="P121" s="97"/>
      <c r="Q121" s="97"/>
      <c r="R121" s="97"/>
      <c r="S121" s="97"/>
      <c r="T121" s="97"/>
      <c r="U121" s="97"/>
      <c r="V121" s="97"/>
      <c r="W121" s="97"/>
      <c r="X121" s="97"/>
      <c r="Y121" s="97"/>
    </row>
    <row r="122" hidden="1">
      <c r="A122" s="184" t="s">
        <v>2837</v>
      </c>
      <c r="B122" s="25" t="s">
        <v>2838</v>
      </c>
      <c r="C122" s="25" t="s">
        <v>2839</v>
      </c>
      <c r="D122" s="25" t="s">
        <v>64</v>
      </c>
      <c r="E122" s="133"/>
      <c r="F122" s="121" t="b">
        <f t="shared" ref="F122:G122" si="69">IF(F119=TRUE,TRUE,FALSE)</f>
        <v>1</v>
      </c>
      <c r="G122" s="121" t="b">
        <f t="shared" si="69"/>
        <v>0</v>
      </c>
      <c r="H122" s="185"/>
      <c r="I122" s="186" t="str">
        <f>IF(G122=TRUE,I119,"")</f>
        <v/>
      </c>
      <c r="J122" s="186"/>
    </row>
    <row r="123" hidden="1">
      <c r="A123" s="187" t="s">
        <v>2840</v>
      </c>
      <c r="B123" s="30" t="s">
        <v>2841</v>
      </c>
      <c r="C123" s="30" t="s">
        <v>2842</v>
      </c>
      <c r="D123" s="30" t="s">
        <v>64</v>
      </c>
      <c r="E123" s="134"/>
      <c r="F123" s="118" t="b">
        <f t="shared" ref="F123:G123" si="70">IF(F119=TRUE,TRUE,FALSE)</f>
        <v>1</v>
      </c>
      <c r="G123" s="118" t="b">
        <f t="shared" si="70"/>
        <v>0</v>
      </c>
      <c r="H123" s="185"/>
      <c r="I123" s="186" t="str">
        <f>IF(G123=TRUE,I119,"")</f>
        <v/>
      </c>
      <c r="J123" s="186"/>
    </row>
    <row r="124" hidden="1">
      <c r="A124" s="181" t="s">
        <v>2843</v>
      </c>
      <c r="B124" s="179"/>
      <c r="C124" s="179"/>
      <c r="D124" s="179"/>
      <c r="E124" s="180"/>
      <c r="F124" s="115" t="b">
        <v>1</v>
      </c>
      <c r="G124" s="115" t="b">
        <v>0</v>
      </c>
      <c r="H124" s="155"/>
      <c r="I124" s="116"/>
      <c r="J124" s="194" t="s">
        <v>2844</v>
      </c>
    </row>
    <row r="125" hidden="1">
      <c r="A125" s="184" t="s">
        <v>2845</v>
      </c>
      <c r="B125" s="25" t="s">
        <v>2846</v>
      </c>
      <c r="C125" s="25" t="s">
        <v>2847</v>
      </c>
      <c r="D125" s="25" t="s">
        <v>64</v>
      </c>
      <c r="E125" s="25" t="s">
        <v>2848</v>
      </c>
      <c r="F125" s="121" t="b">
        <f t="shared" ref="F125:G125" si="71">IF(F124=TRUE,TRUE,FALSE)</f>
        <v>1</v>
      </c>
      <c r="G125" s="121" t="b">
        <f t="shared" si="71"/>
        <v>0</v>
      </c>
      <c r="H125" s="185"/>
      <c r="I125" s="186" t="str">
        <f>IF(G125=TRUE,I124,"")</f>
        <v/>
      </c>
      <c r="J125" s="186"/>
    </row>
    <row r="126" hidden="1">
      <c r="A126" s="66" t="s">
        <v>2849</v>
      </c>
      <c r="B126" s="22" t="s">
        <v>2850</v>
      </c>
      <c r="C126" s="22" t="s">
        <v>2851</v>
      </c>
      <c r="D126" s="22" t="s">
        <v>284</v>
      </c>
      <c r="E126" s="22" t="s">
        <v>2852</v>
      </c>
      <c r="F126" s="24" t="b">
        <f>IF(F124=TRUE,TRUE,FALSE)</f>
        <v>1</v>
      </c>
      <c r="G126" s="44" t="b">
        <v>0</v>
      </c>
      <c r="H126" s="182" t="s">
        <v>17</v>
      </c>
      <c r="I126" s="195" t="s">
        <v>2853</v>
      </c>
      <c r="J126" s="196" t="s">
        <v>2854</v>
      </c>
      <c r="K126" s="97"/>
      <c r="L126" s="97"/>
      <c r="M126" s="97"/>
      <c r="N126" s="97"/>
      <c r="O126" s="97"/>
      <c r="P126" s="97"/>
      <c r="Q126" s="97"/>
      <c r="R126" s="97"/>
      <c r="S126" s="97"/>
      <c r="T126" s="97"/>
      <c r="U126" s="97"/>
      <c r="V126" s="97"/>
      <c r="W126" s="97"/>
      <c r="X126" s="97"/>
      <c r="Y126" s="97"/>
    </row>
    <row r="127" hidden="1">
      <c r="A127" s="66" t="s">
        <v>2855</v>
      </c>
      <c r="B127" s="22" t="s">
        <v>2850</v>
      </c>
      <c r="C127" s="22" t="s">
        <v>2856</v>
      </c>
      <c r="D127" s="22" t="s">
        <v>284</v>
      </c>
      <c r="E127" s="22" t="s">
        <v>2848</v>
      </c>
      <c r="F127" s="24" t="b">
        <f>IF(F124=TRUE,TRUE,FALSE)</f>
        <v>1</v>
      </c>
      <c r="G127" s="44" t="b">
        <v>0</v>
      </c>
      <c r="H127" s="182" t="s">
        <v>17</v>
      </c>
      <c r="I127" s="195" t="s">
        <v>2853</v>
      </c>
      <c r="J127" s="197"/>
      <c r="K127" s="97"/>
      <c r="L127" s="97"/>
      <c r="M127" s="97"/>
      <c r="N127" s="97"/>
      <c r="O127" s="97"/>
      <c r="P127" s="97"/>
      <c r="Q127" s="97"/>
      <c r="R127" s="97"/>
      <c r="S127" s="97"/>
      <c r="T127" s="97"/>
      <c r="U127" s="97"/>
      <c r="V127" s="97"/>
      <c r="W127" s="97"/>
      <c r="X127" s="97"/>
      <c r="Y127" s="97"/>
    </row>
    <row r="128" hidden="1">
      <c r="A128" s="181" t="s">
        <v>2857</v>
      </c>
      <c r="B128" s="179"/>
      <c r="C128" s="179"/>
      <c r="D128" s="179"/>
      <c r="E128" s="180"/>
      <c r="F128" s="115" t="b">
        <v>1</v>
      </c>
      <c r="G128" s="115" t="b">
        <v>0</v>
      </c>
      <c r="H128" s="155"/>
      <c r="I128" s="116"/>
      <c r="J128" s="116"/>
    </row>
    <row r="129">
      <c r="A129" s="66" t="s">
        <v>2858</v>
      </c>
      <c r="B129" s="22" t="s">
        <v>2859</v>
      </c>
      <c r="C129" s="22" t="s">
        <v>2860</v>
      </c>
      <c r="D129" s="22" t="s">
        <v>2861</v>
      </c>
      <c r="E129" s="22" t="s">
        <v>2862</v>
      </c>
      <c r="F129" s="24" t="b">
        <f>IF(F128=TRUE,TRUE,FALSE)</f>
        <v>1</v>
      </c>
      <c r="G129" s="24" t="b">
        <v>1</v>
      </c>
      <c r="H129" s="182" t="s">
        <v>17</v>
      </c>
      <c r="I129" s="198" t="s">
        <v>2863</v>
      </c>
      <c r="J129" s="183" t="s">
        <v>2864</v>
      </c>
      <c r="K129" s="97"/>
      <c r="L129" s="97"/>
      <c r="M129" s="97"/>
      <c r="N129" s="97"/>
      <c r="O129" s="97"/>
      <c r="P129" s="97"/>
      <c r="Q129" s="97"/>
      <c r="R129" s="97"/>
      <c r="S129" s="97"/>
      <c r="T129" s="97"/>
      <c r="U129" s="97"/>
      <c r="V129" s="97"/>
      <c r="W129" s="97"/>
      <c r="X129" s="97"/>
      <c r="Y129" s="97"/>
    </row>
    <row r="130">
      <c r="A130" s="66" t="s">
        <v>2865</v>
      </c>
      <c r="B130" s="22" t="s">
        <v>2859</v>
      </c>
      <c r="C130" s="22" t="s">
        <v>2866</v>
      </c>
      <c r="D130" s="22" t="s">
        <v>2861</v>
      </c>
      <c r="E130" s="22" t="s">
        <v>2867</v>
      </c>
      <c r="F130" s="24" t="b">
        <f>IF(F128=TRUE,TRUE,FALSE)</f>
        <v>1</v>
      </c>
      <c r="G130" s="24" t="b">
        <v>1</v>
      </c>
      <c r="H130" s="182" t="s">
        <v>17</v>
      </c>
      <c r="I130" s="195" t="s">
        <v>2863</v>
      </c>
      <c r="J130" s="183" t="s">
        <v>2864</v>
      </c>
      <c r="K130" s="97"/>
      <c r="L130" s="97"/>
      <c r="M130" s="97"/>
      <c r="N130" s="97"/>
      <c r="O130" s="97"/>
      <c r="P130" s="97"/>
      <c r="Q130" s="97"/>
      <c r="R130" s="97"/>
      <c r="S130" s="97"/>
      <c r="T130" s="97"/>
      <c r="U130" s="97"/>
      <c r="V130" s="97"/>
      <c r="W130" s="97"/>
      <c r="X130" s="97"/>
      <c r="Y130" s="97"/>
    </row>
    <row r="131" hidden="1">
      <c r="A131" s="187" t="s">
        <v>2868</v>
      </c>
      <c r="B131" s="30" t="s">
        <v>2859</v>
      </c>
      <c r="C131" s="30" t="s">
        <v>2869</v>
      </c>
      <c r="D131" s="30" t="s">
        <v>64</v>
      </c>
      <c r="E131" s="134"/>
      <c r="F131" s="118" t="b">
        <f t="shared" ref="F131:G131" si="72">IF(F128=TRUE,TRUE,FALSE)</f>
        <v>1</v>
      </c>
      <c r="G131" s="118" t="b">
        <f t="shared" si="72"/>
        <v>0</v>
      </c>
      <c r="H131" s="185"/>
      <c r="I131" s="186" t="str">
        <f>IF(G131=TRUE,I128,"")</f>
        <v/>
      </c>
      <c r="J131" s="186"/>
    </row>
    <row r="132" hidden="1">
      <c r="A132" s="184" t="s">
        <v>2870</v>
      </c>
      <c r="B132" s="25" t="s">
        <v>2859</v>
      </c>
      <c r="C132" s="25" t="s">
        <v>2871</v>
      </c>
      <c r="D132" s="25" t="s">
        <v>64</v>
      </c>
      <c r="E132" s="133"/>
      <c r="F132" s="121" t="b">
        <f t="shared" ref="F132:G132" si="73">IF(F128=TRUE,TRUE,FALSE)</f>
        <v>1</v>
      </c>
      <c r="G132" s="121" t="b">
        <f t="shared" si="73"/>
        <v>0</v>
      </c>
      <c r="H132" s="185"/>
      <c r="I132" s="186" t="str">
        <f>IF(G132=TRUE,I128,"")</f>
        <v/>
      </c>
      <c r="J132" s="186"/>
    </row>
    <row r="133" hidden="1">
      <c r="A133" s="181" t="s">
        <v>2872</v>
      </c>
      <c r="B133" s="179"/>
      <c r="C133" s="179"/>
      <c r="D133" s="179"/>
      <c r="E133" s="180"/>
      <c r="F133" s="115" t="b">
        <v>1</v>
      </c>
      <c r="G133" s="115" t="b">
        <v>0</v>
      </c>
      <c r="H133" s="155"/>
      <c r="I133" s="116"/>
      <c r="J133" s="116"/>
    </row>
    <row r="134" hidden="1">
      <c r="A134" s="187" t="s">
        <v>2873</v>
      </c>
      <c r="B134" s="30" t="s">
        <v>2874</v>
      </c>
      <c r="C134" s="30" t="s">
        <v>2875</v>
      </c>
      <c r="D134" s="30" t="s">
        <v>64</v>
      </c>
      <c r="E134" s="30" t="s">
        <v>2848</v>
      </c>
      <c r="F134" s="118" t="b">
        <f t="shared" ref="F134:G134" si="74">IF(F133=TRUE,TRUE,FALSE)</f>
        <v>1</v>
      </c>
      <c r="G134" s="118" t="b">
        <f t="shared" si="74"/>
        <v>0</v>
      </c>
      <c r="H134" s="185"/>
      <c r="I134" s="186" t="str">
        <f>IF(G134=TRUE,I133,"")</f>
        <v/>
      </c>
      <c r="J134" s="186"/>
    </row>
    <row r="135" hidden="1">
      <c r="A135" s="181" t="s">
        <v>2876</v>
      </c>
      <c r="B135" s="179"/>
      <c r="C135" s="179"/>
      <c r="D135" s="179"/>
      <c r="E135" s="180"/>
      <c r="F135" s="115" t="b">
        <v>1</v>
      </c>
      <c r="G135" s="115" t="b">
        <v>0</v>
      </c>
      <c r="H135" s="155"/>
      <c r="I135" s="116"/>
      <c r="J135" s="116"/>
    </row>
    <row r="136" hidden="1">
      <c r="A136" s="184" t="s">
        <v>2682</v>
      </c>
      <c r="B136" s="25" t="s">
        <v>2683</v>
      </c>
      <c r="C136" s="25" t="s">
        <v>2877</v>
      </c>
      <c r="D136" s="25" t="s">
        <v>64</v>
      </c>
      <c r="E136" s="25" t="s">
        <v>2848</v>
      </c>
      <c r="F136" s="121" t="b">
        <f t="shared" ref="F136:G136" si="75">IF(F135=TRUE,TRUE,FALSE)</f>
        <v>1</v>
      </c>
      <c r="G136" s="121" t="b">
        <f t="shared" si="75"/>
        <v>0</v>
      </c>
      <c r="H136" s="185"/>
      <c r="I136" s="186" t="str">
        <f>IF(G136=TRUE,I135,"")</f>
        <v/>
      </c>
      <c r="J136" s="186"/>
    </row>
    <row r="137" hidden="1">
      <c r="A137" s="181" t="s">
        <v>2878</v>
      </c>
      <c r="B137" s="179"/>
      <c r="C137" s="179"/>
      <c r="D137" s="179"/>
      <c r="E137" s="180"/>
      <c r="F137" s="115" t="b">
        <v>1</v>
      </c>
      <c r="G137" s="115" t="b">
        <v>0</v>
      </c>
      <c r="H137" s="155"/>
      <c r="I137" s="116"/>
      <c r="J137" s="116"/>
    </row>
    <row r="138" hidden="1">
      <c r="A138" s="187" t="s">
        <v>2879</v>
      </c>
      <c r="B138" s="30" t="s">
        <v>2880</v>
      </c>
      <c r="C138" s="30" t="s">
        <v>2881</v>
      </c>
      <c r="D138" s="30" t="s">
        <v>64</v>
      </c>
      <c r="E138" s="134"/>
      <c r="F138" s="118" t="b">
        <f t="shared" ref="F138:G138" si="76">IF(F137=TRUE,TRUE,FALSE)</f>
        <v>1</v>
      </c>
      <c r="G138" s="118" t="b">
        <f t="shared" si="76"/>
        <v>0</v>
      </c>
      <c r="H138" s="185"/>
      <c r="I138" s="186" t="str">
        <f>IF(G138=TRUE,I137,"")</f>
        <v/>
      </c>
      <c r="J138" s="186"/>
    </row>
    <row r="139" hidden="1">
      <c r="A139" s="178" t="s">
        <v>2882</v>
      </c>
      <c r="B139" s="179"/>
      <c r="C139" s="179"/>
      <c r="D139" s="179"/>
      <c r="E139" s="180"/>
      <c r="F139" s="12"/>
      <c r="G139" s="12"/>
      <c r="H139" s="72"/>
      <c r="I139" s="12"/>
      <c r="J139" s="12"/>
      <c r="K139" s="97"/>
      <c r="L139" s="97"/>
      <c r="M139" s="97"/>
      <c r="N139" s="97"/>
      <c r="O139" s="97"/>
      <c r="P139" s="97"/>
      <c r="Q139" s="97"/>
      <c r="R139" s="97"/>
      <c r="S139" s="97"/>
      <c r="T139" s="97"/>
      <c r="U139" s="97"/>
      <c r="V139" s="97"/>
      <c r="W139" s="97"/>
      <c r="X139" s="97"/>
      <c r="Y139" s="97"/>
    </row>
    <row r="140" hidden="1">
      <c r="A140" s="181" t="s">
        <v>2883</v>
      </c>
      <c r="B140" s="179"/>
      <c r="C140" s="179"/>
      <c r="D140" s="179"/>
      <c r="E140" s="180"/>
      <c r="F140" s="115" t="b">
        <v>1</v>
      </c>
      <c r="G140" s="115" t="b">
        <v>0</v>
      </c>
      <c r="H140" s="155"/>
      <c r="I140" s="116"/>
      <c r="J140" s="116"/>
    </row>
    <row r="141" hidden="1">
      <c r="A141" s="184" t="s">
        <v>2884</v>
      </c>
      <c r="B141" s="25" t="s">
        <v>2885</v>
      </c>
      <c r="C141" s="25" t="s">
        <v>2886</v>
      </c>
      <c r="D141" s="25" t="s">
        <v>64</v>
      </c>
      <c r="E141" s="133"/>
      <c r="F141" s="121" t="b">
        <f t="shared" ref="F141:G141" si="77">IF(F140=TRUE,TRUE,FALSE)</f>
        <v>1</v>
      </c>
      <c r="G141" s="121" t="b">
        <f t="shared" si="77"/>
        <v>0</v>
      </c>
      <c r="H141" s="185"/>
      <c r="I141" s="186" t="str">
        <f>IF(G141=TRUE,I140,"")</f>
        <v/>
      </c>
      <c r="J141" s="186"/>
    </row>
    <row r="142" hidden="1">
      <c r="A142" s="187" t="s">
        <v>2887</v>
      </c>
      <c r="B142" s="30" t="s">
        <v>2885</v>
      </c>
      <c r="C142" s="30" t="s">
        <v>2888</v>
      </c>
      <c r="D142" s="30" t="s">
        <v>64</v>
      </c>
      <c r="E142" s="134"/>
      <c r="F142" s="118" t="b">
        <f t="shared" ref="F142:G142" si="78">IF(F140=TRUE,TRUE,FALSE)</f>
        <v>1</v>
      </c>
      <c r="G142" s="118" t="b">
        <f t="shared" si="78"/>
        <v>0</v>
      </c>
      <c r="H142" s="185"/>
      <c r="I142" s="186" t="str">
        <f>IF(G142=TRUE,I140,"")</f>
        <v/>
      </c>
      <c r="J142" s="186"/>
    </row>
    <row r="143" hidden="1">
      <c r="A143" s="181" t="s">
        <v>2889</v>
      </c>
      <c r="B143" s="179"/>
      <c r="C143" s="179"/>
      <c r="D143" s="179"/>
      <c r="E143" s="180"/>
      <c r="F143" s="115" t="b">
        <v>1</v>
      </c>
      <c r="G143" s="115" t="b">
        <v>0</v>
      </c>
      <c r="H143" s="155"/>
      <c r="I143" s="116"/>
      <c r="J143" s="116"/>
    </row>
    <row r="144" hidden="1">
      <c r="A144" s="184" t="s">
        <v>2890</v>
      </c>
      <c r="B144" s="25" t="s">
        <v>2891</v>
      </c>
      <c r="C144" s="25" t="s">
        <v>2892</v>
      </c>
      <c r="D144" s="25" t="s">
        <v>64</v>
      </c>
      <c r="E144" s="133"/>
      <c r="F144" s="121" t="b">
        <f t="shared" ref="F144:G144" si="79">IF(F143=TRUE,TRUE,FALSE)</f>
        <v>1</v>
      </c>
      <c r="G144" s="121" t="b">
        <f t="shared" si="79"/>
        <v>0</v>
      </c>
      <c r="H144" s="185"/>
      <c r="I144" s="186" t="str">
        <f>IF(G144=TRUE,I143,"")</f>
        <v/>
      </c>
      <c r="J144" s="186"/>
    </row>
    <row r="145" hidden="1">
      <c r="A145" s="181" t="s">
        <v>2893</v>
      </c>
      <c r="B145" s="179"/>
      <c r="C145" s="179"/>
      <c r="D145" s="179"/>
      <c r="E145" s="180"/>
      <c r="F145" s="115" t="b">
        <v>1</v>
      </c>
      <c r="G145" s="115" t="b">
        <v>0</v>
      </c>
      <c r="H145" s="155"/>
      <c r="I145" s="116"/>
      <c r="J145" s="116"/>
    </row>
    <row r="146" hidden="1">
      <c r="A146" s="187" t="s">
        <v>2894</v>
      </c>
      <c r="B146" s="30" t="s">
        <v>2895</v>
      </c>
      <c r="C146" s="30" t="s">
        <v>2896</v>
      </c>
      <c r="D146" s="30" t="s">
        <v>64</v>
      </c>
      <c r="E146" s="134"/>
      <c r="F146" s="118" t="b">
        <f t="shared" ref="F146:G146" si="80">IF(F145=TRUE,TRUE,FALSE)</f>
        <v>1</v>
      </c>
      <c r="G146" s="118" t="b">
        <f t="shared" si="80"/>
        <v>0</v>
      </c>
      <c r="H146" s="185"/>
      <c r="I146" s="186" t="str">
        <f>IF(G146=TRUE,I145,"")</f>
        <v/>
      </c>
      <c r="J146" s="186"/>
    </row>
    <row r="147" hidden="1">
      <c r="A147" s="181" t="s">
        <v>2897</v>
      </c>
      <c r="B147" s="179"/>
      <c r="C147" s="179"/>
      <c r="D147" s="179"/>
      <c r="E147" s="180"/>
      <c r="F147" s="115" t="b">
        <v>1</v>
      </c>
      <c r="G147" s="115" t="b">
        <v>0</v>
      </c>
      <c r="H147" s="155"/>
      <c r="I147" s="116"/>
      <c r="J147" s="116"/>
    </row>
    <row r="148" hidden="1">
      <c r="A148" s="199" t="s">
        <v>2898</v>
      </c>
      <c r="B148" s="47" t="s">
        <v>2899</v>
      </c>
      <c r="C148" s="47" t="s">
        <v>2900</v>
      </c>
      <c r="D148" s="47" t="s">
        <v>284</v>
      </c>
      <c r="E148" s="47" t="s">
        <v>2901</v>
      </c>
      <c r="F148" s="200" t="b">
        <v>0</v>
      </c>
      <c r="G148" s="200" t="b">
        <v>0</v>
      </c>
      <c r="H148" s="201"/>
      <c r="I148" s="127" t="str">
        <f>IF(G148=TRUE,I147,"")</f>
        <v/>
      </c>
      <c r="J148" s="127"/>
    </row>
    <row r="149" hidden="1">
      <c r="A149" s="178" t="s">
        <v>2902</v>
      </c>
      <c r="B149" s="179"/>
      <c r="C149" s="179"/>
      <c r="D149" s="179"/>
      <c r="E149" s="180"/>
      <c r="F149" s="12"/>
      <c r="G149" s="12"/>
      <c r="H149" s="72"/>
      <c r="I149" s="12"/>
      <c r="J149" s="12"/>
      <c r="K149" s="97"/>
      <c r="L149" s="97"/>
      <c r="M149" s="97"/>
      <c r="N149" s="97"/>
      <c r="O149" s="97"/>
      <c r="P149" s="97"/>
      <c r="Q149" s="97"/>
      <c r="R149" s="97"/>
      <c r="S149" s="97"/>
      <c r="T149" s="97"/>
      <c r="U149" s="97"/>
      <c r="V149" s="97"/>
      <c r="W149" s="97"/>
      <c r="X149" s="97"/>
      <c r="Y149" s="97"/>
    </row>
    <row r="150" hidden="1">
      <c r="A150" s="181" t="s">
        <v>2903</v>
      </c>
      <c r="B150" s="179"/>
      <c r="C150" s="179"/>
      <c r="D150" s="179"/>
      <c r="E150" s="180"/>
      <c r="F150" s="115" t="b">
        <v>1</v>
      </c>
      <c r="G150" s="115" t="b">
        <v>0</v>
      </c>
      <c r="H150" s="155"/>
      <c r="I150" s="116"/>
      <c r="J150" s="116"/>
    </row>
    <row r="151" hidden="1">
      <c r="A151" s="187" t="s">
        <v>2904</v>
      </c>
      <c r="B151" s="30" t="s">
        <v>2905</v>
      </c>
      <c r="C151" s="30" t="s">
        <v>2906</v>
      </c>
      <c r="D151" s="30" t="s">
        <v>64</v>
      </c>
      <c r="E151" s="134"/>
      <c r="F151" s="118" t="b">
        <f t="shared" ref="F151:G151" si="81">IF(F150=TRUE,TRUE,FALSE)</f>
        <v>1</v>
      </c>
      <c r="G151" s="118" t="b">
        <f t="shared" si="81"/>
        <v>0</v>
      </c>
      <c r="H151" s="185"/>
      <c r="I151" s="186" t="str">
        <f>IF(G151=TRUE,I150,"")</f>
        <v/>
      </c>
      <c r="J151" s="186"/>
    </row>
    <row r="152" hidden="1">
      <c r="A152" s="184" t="s">
        <v>2907</v>
      </c>
      <c r="B152" s="25" t="s">
        <v>2905</v>
      </c>
      <c r="C152" s="25" t="s">
        <v>2908</v>
      </c>
      <c r="D152" s="25" t="s">
        <v>64</v>
      </c>
      <c r="E152" s="133"/>
      <c r="F152" s="121" t="b">
        <f t="shared" ref="F152:G152" si="82">IF(F150=TRUE,TRUE,FALSE)</f>
        <v>1</v>
      </c>
      <c r="G152" s="121" t="b">
        <f t="shared" si="82"/>
        <v>0</v>
      </c>
      <c r="H152" s="185"/>
      <c r="I152" s="186" t="str">
        <f>IF(G152=TRUE,I150,"")</f>
        <v/>
      </c>
      <c r="J152" s="186"/>
    </row>
    <row r="153" hidden="1">
      <c r="A153" s="187" t="s">
        <v>2909</v>
      </c>
      <c r="B153" s="30" t="s">
        <v>2910</v>
      </c>
      <c r="C153" s="30" t="s">
        <v>2911</v>
      </c>
      <c r="D153" s="30" t="s">
        <v>64</v>
      </c>
      <c r="E153" s="134"/>
      <c r="F153" s="118" t="b">
        <f t="shared" ref="F153:G153" si="83">IF(F150=TRUE,TRUE,FALSE)</f>
        <v>1</v>
      </c>
      <c r="G153" s="118" t="b">
        <f t="shared" si="83"/>
        <v>0</v>
      </c>
      <c r="H153" s="185"/>
      <c r="I153" s="186" t="str">
        <f>IF(G153=TRUE,I150,"")</f>
        <v/>
      </c>
      <c r="J153" s="186"/>
    </row>
    <row r="154" hidden="1">
      <c r="A154" s="181" t="s">
        <v>2912</v>
      </c>
      <c r="B154" s="179"/>
      <c r="C154" s="179"/>
      <c r="D154" s="179"/>
      <c r="E154" s="180"/>
      <c r="F154" s="115" t="b">
        <v>1</v>
      </c>
      <c r="G154" s="115" t="b">
        <v>0</v>
      </c>
      <c r="H154" s="155"/>
      <c r="I154" s="116"/>
      <c r="J154" s="116"/>
    </row>
    <row r="155" hidden="1">
      <c r="A155" s="66" t="s">
        <v>2913</v>
      </c>
      <c r="B155" s="22" t="s">
        <v>2914</v>
      </c>
      <c r="C155" s="22" t="s">
        <v>2915</v>
      </c>
      <c r="D155" s="22" t="s">
        <v>64</v>
      </c>
      <c r="E155" s="22" t="s">
        <v>2916</v>
      </c>
      <c r="F155" s="24" t="b">
        <f>IF(F154=TRUE,TRUE,FALSE)</f>
        <v>1</v>
      </c>
      <c r="G155" s="24" t="b">
        <v>1</v>
      </c>
      <c r="H155" s="182" t="s">
        <v>1248</v>
      </c>
      <c r="I155" s="25" t="str">
        <f>IF(G155=TRUE,I154,"")</f>
        <v/>
      </c>
      <c r="J155" s="183" t="s">
        <v>2917</v>
      </c>
      <c r="K155" s="97"/>
      <c r="L155" s="97"/>
      <c r="M155" s="97"/>
      <c r="N155" s="97"/>
      <c r="O155" s="97"/>
      <c r="P155" s="97"/>
      <c r="Q155" s="97"/>
      <c r="R155" s="97"/>
      <c r="S155" s="97"/>
      <c r="T155" s="97"/>
      <c r="U155" s="97"/>
      <c r="V155" s="97"/>
      <c r="W155" s="97"/>
      <c r="X155" s="97"/>
      <c r="Y155" s="97"/>
    </row>
    <row r="156" hidden="1">
      <c r="A156" s="187" t="s">
        <v>2918</v>
      </c>
      <c r="B156" s="30" t="s">
        <v>2914</v>
      </c>
      <c r="C156" s="30" t="s">
        <v>2919</v>
      </c>
      <c r="D156" s="30" t="s">
        <v>64</v>
      </c>
      <c r="E156" s="134"/>
      <c r="F156" s="118" t="b">
        <f t="shared" ref="F156:G156" si="84">IF(F154=TRUE,TRUE,FALSE)</f>
        <v>1</v>
      </c>
      <c r="G156" s="118" t="b">
        <f t="shared" si="84"/>
        <v>0</v>
      </c>
      <c r="H156" s="185"/>
      <c r="I156" s="186" t="str">
        <f>IF(G156=TRUE,I154,"")</f>
        <v/>
      </c>
      <c r="J156" s="186"/>
    </row>
    <row r="157" hidden="1">
      <c r="A157" s="184" t="s">
        <v>2920</v>
      </c>
      <c r="B157" s="25" t="s">
        <v>2914</v>
      </c>
      <c r="C157" s="25" t="s">
        <v>2921</v>
      </c>
      <c r="D157" s="25" t="s">
        <v>64</v>
      </c>
      <c r="E157" s="133"/>
      <c r="F157" s="121" t="b">
        <f t="shared" ref="F157:G157" si="85">IF(F154=TRUE,TRUE,FALSE)</f>
        <v>1</v>
      </c>
      <c r="G157" s="121" t="b">
        <f t="shared" si="85"/>
        <v>0</v>
      </c>
      <c r="H157" s="185"/>
      <c r="I157" s="186" t="str">
        <f>IF(G157=TRUE,I154,"")</f>
        <v/>
      </c>
      <c r="J157" s="186"/>
    </row>
    <row r="158" hidden="1">
      <c r="A158" s="66" t="s">
        <v>2922</v>
      </c>
      <c r="B158" s="22" t="s">
        <v>2914</v>
      </c>
      <c r="C158" s="22" t="s">
        <v>2923</v>
      </c>
      <c r="D158" s="22" t="s">
        <v>2861</v>
      </c>
      <c r="E158" s="22" t="s">
        <v>2924</v>
      </c>
      <c r="F158" s="24" t="b">
        <f>IF(F154=TRUE,TRUE,FALSE)</f>
        <v>1</v>
      </c>
      <c r="G158" s="24" t="b">
        <v>1</v>
      </c>
      <c r="H158" s="182" t="s">
        <v>1248</v>
      </c>
      <c r="I158" s="195" t="s">
        <v>2925</v>
      </c>
      <c r="J158" s="183" t="s">
        <v>2917</v>
      </c>
      <c r="K158" s="97"/>
      <c r="L158" s="97"/>
      <c r="M158" s="97"/>
      <c r="N158" s="97"/>
      <c r="O158" s="97"/>
      <c r="P158" s="97"/>
      <c r="Q158" s="97"/>
      <c r="R158" s="97"/>
      <c r="S158" s="97"/>
      <c r="T158" s="97"/>
      <c r="U158" s="97"/>
      <c r="V158" s="97"/>
      <c r="W158" s="97"/>
      <c r="X158" s="97"/>
      <c r="Y158" s="97"/>
    </row>
    <row r="159" hidden="1">
      <c r="A159" s="66" t="s">
        <v>2926</v>
      </c>
      <c r="B159" s="22" t="s">
        <v>2914</v>
      </c>
      <c r="C159" s="22" t="s">
        <v>2927</v>
      </c>
      <c r="D159" s="22" t="s">
        <v>315</v>
      </c>
      <c r="E159" s="22" t="s">
        <v>2928</v>
      </c>
      <c r="F159" s="24" t="b">
        <f>IF(F154=TRUE,TRUE,FALSE)</f>
        <v>1</v>
      </c>
      <c r="G159" s="24" t="b">
        <v>1</v>
      </c>
      <c r="H159" s="182" t="s">
        <v>1248</v>
      </c>
      <c r="I159" s="25" t="str">
        <f>IF(G159=TRUE,I154,"")</f>
        <v/>
      </c>
      <c r="J159" s="183" t="s">
        <v>2917</v>
      </c>
      <c r="K159" s="97"/>
      <c r="L159" s="97"/>
      <c r="M159" s="97"/>
      <c r="N159" s="97"/>
      <c r="O159" s="97"/>
      <c r="P159" s="97"/>
      <c r="Q159" s="97"/>
      <c r="R159" s="97"/>
      <c r="S159" s="97"/>
      <c r="T159" s="97"/>
      <c r="U159" s="97"/>
      <c r="V159" s="97"/>
      <c r="W159" s="97"/>
      <c r="X159" s="97"/>
      <c r="Y159" s="97"/>
    </row>
    <row r="160" hidden="1">
      <c r="A160" s="181" t="s">
        <v>2929</v>
      </c>
      <c r="B160" s="179"/>
      <c r="C160" s="179"/>
      <c r="D160" s="179"/>
      <c r="E160" s="180"/>
      <c r="F160" s="115" t="b">
        <v>1</v>
      </c>
      <c r="G160" s="115" t="b">
        <v>0</v>
      </c>
      <c r="H160" s="155"/>
      <c r="I160" s="116"/>
      <c r="J160" s="116"/>
    </row>
    <row r="161" hidden="1">
      <c r="A161" s="187" t="s">
        <v>2930</v>
      </c>
      <c r="B161" s="30" t="s">
        <v>2931</v>
      </c>
      <c r="C161" s="30" t="s">
        <v>2932</v>
      </c>
      <c r="D161" s="30" t="s">
        <v>64</v>
      </c>
      <c r="E161" s="142" t="s">
        <v>2933</v>
      </c>
      <c r="F161" s="118" t="b">
        <f t="shared" ref="F161:G161" si="86">IF(F160=TRUE,TRUE,FALSE)</f>
        <v>1</v>
      </c>
      <c r="G161" s="118" t="b">
        <f t="shared" si="86"/>
        <v>0</v>
      </c>
      <c r="H161" s="185"/>
      <c r="I161" s="186" t="str">
        <f>IF(G161=TRUE,I160,"")</f>
        <v/>
      </c>
      <c r="J161" s="186"/>
    </row>
    <row r="162" hidden="1">
      <c r="A162" s="184" t="s">
        <v>2934</v>
      </c>
      <c r="B162" s="25" t="s">
        <v>2935</v>
      </c>
      <c r="C162" s="25" t="s">
        <v>2936</v>
      </c>
      <c r="D162" s="25" t="s">
        <v>64</v>
      </c>
      <c r="E162" s="133"/>
      <c r="F162" s="121" t="b">
        <f t="shared" ref="F162:G162" si="87">IF(F160=TRUE,TRUE,FALSE)</f>
        <v>1</v>
      </c>
      <c r="G162" s="121" t="b">
        <f t="shared" si="87"/>
        <v>0</v>
      </c>
      <c r="H162" s="185"/>
      <c r="I162" s="186" t="str">
        <f>IF(G162=TRUE,I160,"")</f>
        <v/>
      </c>
      <c r="J162" s="186"/>
    </row>
    <row r="163" hidden="1">
      <c r="A163" s="181" t="s">
        <v>2937</v>
      </c>
      <c r="B163" s="179"/>
      <c r="C163" s="179"/>
      <c r="D163" s="179"/>
      <c r="E163" s="180"/>
      <c r="F163" s="115" t="b">
        <v>1</v>
      </c>
      <c r="G163" s="115" t="b">
        <v>0</v>
      </c>
      <c r="H163" s="155"/>
      <c r="I163" s="116"/>
      <c r="J163" s="116"/>
    </row>
    <row r="164" hidden="1">
      <c r="A164" s="181" t="s">
        <v>2938</v>
      </c>
      <c r="B164" s="179"/>
      <c r="C164" s="179"/>
      <c r="D164" s="179"/>
      <c r="E164" s="180"/>
      <c r="F164" s="115" t="b">
        <v>1</v>
      </c>
      <c r="G164" s="115" t="b">
        <v>0</v>
      </c>
      <c r="H164" s="155"/>
      <c r="I164" s="116"/>
      <c r="J164" s="116"/>
    </row>
    <row r="165" hidden="1">
      <c r="A165" s="66" t="s">
        <v>2939</v>
      </c>
      <c r="B165" s="22" t="s">
        <v>2940</v>
      </c>
      <c r="C165" s="22" t="s">
        <v>2941</v>
      </c>
      <c r="D165" s="22" t="s">
        <v>15</v>
      </c>
      <c r="E165" s="22" t="s">
        <v>2942</v>
      </c>
      <c r="F165" s="24" t="b">
        <f>IF(F164=TRUE,TRUE,FALSE)</f>
        <v>1</v>
      </c>
      <c r="G165" s="24" t="b">
        <v>1</v>
      </c>
      <c r="H165" s="182" t="s">
        <v>1235</v>
      </c>
      <c r="I165" s="195" t="s">
        <v>2943</v>
      </c>
      <c r="J165" s="190" t="s">
        <v>2944</v>
      </c>
      <c r="K165" s="97"/>
      <c r="L165" s="97"/>
      <c r="M165" s="97"/>
      <c r="N165" s="97"/>
      <c r="O165" s="97"/>
      <c r="P165" s="97"/>
      <c r="Q165" s="97"/>
      <c r="R165" s="97"/>
      <c r="S165" s="97"/>
      <c r="T165" s="97"/>
      <c r="U165" s="97"/>
      <c r="V165" s="97"/>
      <c r="W165" s="97"/>
      <c r="X165" s="97"/>
      <c r="Y165" s="97"/>
    </row>
    <row r="166" hidden="1">
      <c r="A166" s="202" t="s">
        <v>2945</v>
      </c>
      <c r="B166" s="22" t="s">
        <v>2940</v>
      </c>
      <c r="C166" s="22" t="s">
        <v>2946</v>
      </c>
      <c r="D166" s="22" t="s">
        <v>64</v>
      </c>
      <c r="E166" s="203"/>
      <c r="F166" s="204" t="b">
        <f t="shared" ref="F166:G166" si="88">IF(F164=TRUE,TRUE,FALSE)</f>
        <v>1</v>
      </c>
      <c r="G166" s="204" t="b">
        <f t="shared" si="88"/>
        <v>0</v>
      </c>
      <c r="H166" s="205"/>
      <c r="I166" s="203" t="str">
        <f>IF(G166=TRUE,I164,"")</f>
        <v/>
      </c>
      <c r="J166" s="203"/>
    </row>
    <row r="167" hidden="1">
      <c r="A167" s="181" t="s">
        <v>2947</v>
      </c>
      <c r="B167" s="179"/>
      <c r="C167" s="179"/>
      <c r="D167" s="179"/>
      <c r="E167" s="180"/>
      <c r="F167" s="115" t="b">
        <v>1</v>
      </c>
      <c r="G167" s="115" t="b">
        <v>0</v>
      </c>
      <c r="H167" s="155"/>
      <c r="I167" s="116"/>
      <c r="J167" s="116"/>
    </row>
    <row r="168" hidden="1">
      <c r="A168" s="66" t="s">
        <v>2948</v>
      </c>
      <c r="B168" s="22" t="s">
        <v>2949</v>
      </c>
      <c r="C168" s="22" t="s">
        <v>2950</v>
      </c>
      <c r="D168" s="22" t="s">
        <v>2951</v>
      </c>
      <c r="E168" s="22" t="s">
        <v>2952</v>
      </c>
      <c r="F168" s="24" t="b">
        <f>IF(F167=TRUE,TRUE,FALSE)</f>
        <v>1</v>
      </c>
      <c r="G168" s="44" t="b">
        <v>0</v>
      </c>
      <c r="H168" s="182" t="s">
        <v>17</v>
      </c>
      <c r="I168" s="195" t="s">
        <v>2943</v>
      </c>
      <c r="J168" s="196" t="s">
        <v>2953</v>
      </c>
      <c r="K168" s="97"/>
      <c r="L168" s="97"/>
      <c r="M168" s="97"/>
      <c r="N168" s="97"/>
      <c r="O168" s="97"/>
      <c r="P168" s="97"/>
      <c r="Q168" s="97"/>
      <c r="R168" s="97"/>
      <c r="S168" s="97"/>
      <c r="T168" s="97"/>
      <c r="U168" s="97"/>
      <c r="V168" s="97"/>
      <c r="W168" s="97"/>
      <c r="X168" s="97"/>
      <c r="Y168" s="97"/>
    </row>
    <row r="169" hidden="1">
      <c r="A169" s="66" t="s">
        <v>2954</v>
      </c>
      <c r="B169" s="22" t="s">
        <v>2949</v>
      </c>
      <c r="C169" s="22" t="s">
        <v>2955</v>
      </c>
      <c r="D169" s="22" t="s">
        <v>2951</v>
      </c>
      <c r="E169" s="22" t="s">
        <v>2956</v>
      </c>
      <c r="F169" s="24" t="b">
        <f>IF(F167=TRUE,TRUE,FALSE)</f>
        <v>1</v>
      </c>
      <c r="G169" s="44" t="b">
        <v>0</v>
      </c>
      <c r="H169" s="182" t="s">
        <v>17</v>
      </c>
      <c r="I169" s="195" t="s">
        <v>2943</v>
      </c>
      <c r="J169" s="197"/>
      <c r="K169" s="97"/>
      <c r="L169" s="97"/>
      <c r="M169" s="97"/>
      <c r="N169" s="97"/>
      <c r="O169" s="97"/>
      <c r="P169" s="97"/>
      <c r="Q169" s="97"/>
      <c r="R169" s="97"/>
      <c r="S169" s="97"/>
      <c r="T169" s="97"/>
      <c r="U169" s="97"/>
      <c r="V169" s="97"/>
      <c r="W169" s="97"/>
      <c r="X169" s="97"/>
      <c r="Y169" s="97"/>
    </row>
    <row r="170" hidden="1">
      <c r="A170" s="178" t="s">
        <v>2957</v>
      </c>
      <c r="B170" s="179"/>
      <c r="C170" s="179"/>
      <c r="D170" s="179"/>
      <c r="E170" s="180"/>
      <c r="F170" s="12"/>
      <c r="G170" s="12"/>
      <c r="H170" s="72"/>
      <c r="I170" s="12"/>
      <c r="J170" s="12"/>
      <c r="K170" s="97"/>
      <c r="L170" s="97"/>
      <c r="M170" s="97"/>
      <c r="N170" s="97"/>
      <c r="O170" s="97"/>
      <c r="P170" s="97"/>
      <c r="Q170" s="97"/>
      <c r="R170" s="97"/>
      <c r="S170" s="97"/>
      <c r="T170" s="97"/>
      <c r="U170" s="97"/>
      <c r="V170" s="97"/>
      <c r="W170" s="97"/>
      <c r="X170" s="97"/>
      <c r="Y170" s="97"/>
    </row>
    <row r="171" hidden="1">
      <c r="A171" s="181" t="s">
        <v>2958</v>
      </c>
      <c r="B171" s="179"/>
      <c r="C171" s="179"/>
      <c r="D171" s="179"/>
      <c r="E171" s="180"/>
      <c r="F171" s="115" t="b">
        <v>1</v>
      </c>
      <c r="G171" s="115" t="b">
        <v>0</v>
      </c>
      <c r="H171" s="155"/>
      <c r="I171" s="116"/>
      <c r="J171" s="116"/>
    </row>
    <row r="172" hidden="1">
      <c r="A172" s="187" t="s">
        <v>2959</v>
      </c>
      <c r="B172" s="30" t="s">
        <v>188</v>
      </c>
      <c r="C172" s="30" t="s">
        <v>2960</v>
      </c>
      <c r="D172" s="30" t="s">
        <v>64</v>
      </c>
      <c r="E172" s="134"/>
      <c r="F172" s="118" t="b">
        <f t="shared" ref="F172:G172" si="89">IF(F171=TRUE,TRUE,FALSE)</f>
        <v>1</v>
      </c>
      <c r="G172" s="118" t="b">
        <f t="shared" si="89"/>
        <v>0</v>
      </c>
      <c r="H172" s="185"/>
      <c r="I172" s="186" t="str">
        <f>IF(G172=TRUE,I171,"")</f>
        <v/>
      </c>
      <c r="J172" s="186"/>
    </row>
    <row r="173" hidden="1">
      <c r="A173" s="66" t="s">
        <v>2961</v>
      </c>
      <c r="B173" s="22" t="s">
        <v>188</v>
      </c>
      <c r="C173" s="22" t="s">
        <v>2962</v>
      </c>
      <c r="D173" s="22" t="s">
        <v>15</v>
      </c>
      <c r="E173" s="22" t="s">
        <v>2586</v>
      </c>
      <c r="F173" s="24" t="b">
        <f>IF(F171=TRUE,TRUE,FALSE)</f>
        <v>1</v>
      </c>
      <c r="G173" s="24" t="b">
        <v>1</v>
      </c>
      <c r="H173" s="182" t="s">
        <v>1235</v>
      </c>
      <c r="I173" s="25" t="str">
        <f>IF(G173=TRUE,I171,"")</f>
        <v/>
      </c>
      <c r="J173" s="193" t="s">
        <v>2963</v>
      </c>
      <c r="K173" s="97"/>
      <c r="L173" s="97"/>
      <c r="M173" s="97"/>
      <c r="N173" s="97"/>
      <c r="O173" s="97"/>
      <c r="P173" s="97"/>
      <c r="Q173" s="97"/>
      <c r="R173" s="97"/>
      <c r="S173" s="97"/>
      <c r="T173" s="97"/>
      <c r="U173" s="97"/>
      <c r="V173" s="97"/>
      <c r="W173" s="97"/>
      <c r="X173" s="97"/>
      <c r="Y173" s="97"/>
    </row>
    <row r="174" hidden="1">
      <c r="A174" s="187" t="s">
        <v>2964</v>
      </c>
      <c r="B174" s="30" t="s">
        <v>188</v>
      </c>
      <c r="C174" s="30" t="s">
        <v>2965</v>
      </c>
      <c r="D174" s="30" t="s">
        <v>64</v>
      </c>
      <c r="E174" s="134"/>
      <c r="F174" s="118" t="b">
        <f t="shared" ref="F174:G174" si="90">IF(F171=TRUE,TRUE,FALSE)</f>
        <v>1</v>
      </c>
      <c r="G174" s="118" t="b">
        <f t="shared" si="90"/>
        <v>0</v>
      </c>
      <c r="H174" s="185"/>
      <c r="I174" s="186" t="str">
        <f>IF(G174=TRUE,I171,"")</f>
        <v/>
      </c>
      <c r="J174" s="186"/>
    </row>
    <row r="175" hidden="1">
      <c r="A175" s="181" t="s">
        <v>2966</v>
      </c>
      <c r="B175" s="179"/>
      <c r="C175" s="179"/>
      <c r="D175" s="179"/>
      <c r="E175" s="180"/>
      <c r="F175" s="115" t="b">
        <v>1</v>
      </c>
      <c r="G175" s="115" t="b">
        <v>0</v>
      </c>
      <c r="H175" s="155"/>
      <c r="I175" s="116"/>
      <c r="J175" s="116"/>
    </row>
    <row r="176" hidden="1">
      <c r="A176" s="184" t="s">
        <v>2967</v>
      </c>
      <c r="B176" s="25" t="s">
        <v>2968</v>
      </c>
      <c r="C176" s="25" t="s">
        <v>2969</v>
      </c>
      <c r="D176" s="25" t="s">
        <v>64</v>
      </c>
      <c r="E176" s="133"/>
      <c r="F176" s="121" t="b">
        <f t="shared" ref="F176:G176" si="91">IF(F175=TRUE,TRUE,FALSE)</f>
        <v>1</v>
      </c>
      <c r="G176" s="121" t="b">
        <f t="shared" si="91"/>
        <v>0</v>
      </c>
      <c r="H176" s="185"/>
      <c r="I176" s="186" t="str">
        <f>IF(G176=TRUE,I175,"")</f>
        <v/>
      </c>
      <c r="J176" s="186"/>
    </row>
    <row r="177" hidden="1">
      <c r="A177" s="181" t="s">
        <v>2970</v>
      </c>
      <c r="B177" s="179"/>
      <c r="C177" s="179"/>
      <c r="D177" s="179"/>
      <c r="E177" s="180"/>
      <c r="F177" s="115" t="b">
        <v>1</v>
      </c>
      <c r="G177" s="115" t="b">
        <v>0</v>
      </c>
      <c r="H177" s="155"/>
      <c r="I177" s="116"/>
      <c r="J177" s="116"/>
    </row>
    <row r="178" hidden="1">
      <c r="A178" s="187" t="s">
        <v>2971</v>
      </c>
      <c r="B178" s="30" t="s">
        <v>2972</v>
      </c>
      <c r="C178" s="30" t="s">
        <v>2973</v>
      </c>
      <c r="D178" s="30" t="s">
        <v>64</v>
      </c>
      <c r="E178" s="134"/>
      <c r="F178" s="118" t="b">
        <f t="shared" ref="F178:G178" si="92">IF(F177=TRUE,TRUE,FALSE)</f>
        <v>1</v>
      </c>
      <c r="G178" s="118" t="b">
        <f t="shared" si="92"/>
        <v>0</v>
      </c>
      <c r="H178" s="185"/>
      <c r="I178" s="186" t="str">
        <f>IF(G178=TRUE,I177,"")</f>
        <v/>
      </c>
      <c r="J178" s="186"/>
    </row>
    <row r="179" hidden="1">
      <c r="A179" s="181" t="s">
        <v>2974</v>
      </c>
      <c r="B179" s="179"/>
      <c r="C179" s="179"/>
      <c r="D179" s="179"/>
      <c r="E179" s="180"/>
      <c r="F179" s="115" t="b">
        <v>1</v>
      </c>
      <c r="G179" s="115" t="b">
        <v>0</v>
      </c>
      <c r="H179" s="155"/>
      <c r="I179" s="116"/>
      <c r="J179" s="116"/>
    </row>
    <row r="180" hidden="1">
      <c r="A180" s="184" t="s">
        <v>2975</v>
      </c>
      <c r="B180" s="25" t="s">
        <v>2976</v>
      </c>
      <c r="C180" s="25" t="s">
        <v>2977</v>
      </c>
      <c r="D180" s="25" t="s">
        <v>64</v>
      </c>
      <c r="E180" s="133"/>
      <c r="F180" s="121" t="b">
        <f t="shared" ref="F180:G180" si="93">IF(F179=TRUE,TRUE,FALSE)</f>
        <v>1</v>
      </c>
      <c r="G180" s="121" t="b">
        <f t="shared" si="93"/>
        <v>0</v>
      </c>
      <c r="H180" s="185"/>
      <c r="I180" s="186" t="str">
        <f>IF(G180=TRUE,I179,"")</f>
        <v/>
      </c>
      <c r="J180" s="186"/>
    </row>
    <row r="181" hidden="1">
      <c r="A181" s="178" t="s">
        <v>2978</v>
      </c>
      <c r="B181" s="179"/>
      <c r="C181" s="179"/>
      <c r="D181" s="179"/>
      <c r="E181" s="180"/>
      <c r="F181" s="12"/>
      <c r="G181" s="12"/>
      <c r="H181" s="72"/>
      <c r="I181" s="12"/>
      <c r="J181" s="12"/>
      <c r="K181" s="97"/>
      <c r="L181" s="97"/>
      <c r="M181" s="97"/>
      <c r="N181" s="97"/>
      <c r="O181" s="97"/>
      <c r="P181" s="97"/>
      <c r="Q181" s="97"/>
      <c r="R181" s="97"/>
      <c r="S181" s="97"/>
      <c r="T181" s="97"/>
      <c r="U181" s="97"/>
      <c r="V181" s="97"/>
      <c r="W181" s="97"/>
      <c r="X181" s="97"/>
      <c r="Y181" s="97"/>
    </row>
    <row r="182" hidden="1">
      <c r="A182" s="181" t="s">
        <v>2979</v>
      </c>
      <c r="B182" s="179"/>
      <c r="C182" s="179"/>
      <c r="D182" s="179"/>
      <c r="E182" s="180"/>
      <c r="F182" s="115" t="b">
        <v>1</v>
      </c>
      <c r="G182" s="115" t="b">
        <v>0</v>
      </c>
      <c r="H182" s="155"/>
      <c r="I182" s="116"/>
      <c r="J182" s="116"/>
    </row>
    <row r="183" hidden="1">
      <c r="A183" s="187" t="s">
        <v>2980</v>
      </c>
      <c r="B183" s="30" t="s">
        <v>2981</v>
      </c>
      <c r="C183" s="30" t="s">
        <v>2982</v>
      </c>
      <c r="D183" s="30" t="s">
        <v>64</v>
      </c>
      <c r="E183" s="134"/>
      <c r="F183" s="118" t="b">
        <f t="shared" ref="F183:G183" si="94">IF(F182=TRUE,TRUE,FALSE)</f>
        <v>1</v>
      </c>
      <c r="G183" s="118" t="b">
        <f t="shared" si="94"/>
        <v>0</v>
      </c>
      <c r="H183" s="185"/>
      <c r="I183" s="186" t="str">
        <f>IF(G183=TRUE,I182,"")</f>
        <v/>
      </c>
      <c r="J183" s="186"/>
    </row>
    <row r="184" hidden="1">
      <c r="A184" s="181" t="s">
        <v>2983</v>
      </c>
      <c r="B184" s="179"/>
      <c r="C184" s="179"/>
      <c r="D184" s="179"/>
      <c r="E184" s="180"/>
      <c r="F184" s="115" t="b">
        <v>1</v>
      </c>
      <c r="G184" s="115" t="b">
        <v>0</v>
      </c>
      <c r="H184" s="155"/>
      <c r="I184" s="116"/>
      <c r="J184" s="116"/>
    </row>
    <row r="185" hidden="1">
      <c r="A185" s="184" t="s">
        <v>2984</v>
      </c>
      <c r="B185" s="25" t="s">
        <v>2985</v>
      </c>
      <c r="C185" s="25" t="s">
        <v>2986</v>
      </c>
      <c r="D185" s="25" t="s">
        <v>64</v>
      </c>
      <c r="E185" s="25" t="s">
        <v>2600</v>
      </c>
      <c r="F185" s="121" t="b">
        <f t="shared" ref="F185:G185" si="95">IF(F184=TRUE,TRUE,FALSE)</f>
        <v>1</v>
      </c>
      <c r="G185" s="121" t="b">
        <f t="shared" si="95"/>
        <v>0</v>
      </c>
      <c r="H185" s="185"/>
      <c r="I185" s="186" t="str">
        <f>IF(G185=TRUE,I184,"")</f>
        <v/>
      </c>
      <c r="J185" s="186"/>
    </row>
    <row r="186" hidden="1">
      <c r="A186" s="178" t="s">
        <v>2987</v>
      </c>
      <c r="B186" s="179"/>
      <c r="C186" s="179"/>
      <c r="D186" s="179"/>
      <c r="E186" s="180"/>
      <c r="F186" s="12"/>
      <c r="G186" s="12"/>
      <c r="H186" s="72"/>
      <c r="I186" s="12"/>
      <c r="J186" s="12"/>
      <c r="K186" s="97"/>
      <c r="L186" s="97"/>
      <c r="M186" s="97"/>
      <c r="N186" s="97"/>
      <c r="O186" s="97"/>
      <c r="P186" s="97"/>
      <c r="Q186" s="97"/>
      <c r="R186" s="97"/>
      <c r="S186" s="97"/>
      <c r="T186" s="97"/>
      <c r="U186" s="97"/>
      <c r="V186" s="97"/>
      <c r="W186" s="97"/>
      <c r="X186" s="97"/>
      <c r="Y186" s="97"/>
    </row>
    <row r="187" hidden="1">
      <c r="A187" s="181" t="s">
        <v>2988</v>
      </c>
      <c r="B187" s="179"/>
      <c r="C187" s="179"/>
      <c r="D187" s="179"/>
      <c r="E187" s="180"/>
      <c r="F187" s="115" t="b">
        <v>1</v>
      </c>
      <c r="G187" s="115" t="b">
        <v>0</v>
      </c>
      <c r="H187" s="155"/>
      <c r="I187" s="116"/>
      <c r="J187" s="116"/>
    </row>
    <row r="188">
      <c r="A188" s="192" t="s">
        <v>2989</v>
      </c>
      <c r="B188" s="51" t="s">
        <v>2990</v>
      </c>
      <c r="C188" s="51" t="s">
        <v>2991</v>
      </c>
      <c r="D188" s="51" t="s">
        <v>64</v>
      </c>
      <c r="E188" s="51" t="s">
        <v>2992</v>
      </c>
      <c r="F188" s="53" t="b">
        <f>IF(F187=TRUE,TRUE,FALSE)</f>
        <v>1</v>
      </c>
      <c r="G188" s="53" t="s">
        <v>1519</v>
      </c>
      <c r="H188" s="76" t="s">
        <v>533</v>
      </c>
      <c r="I188" s="206" t="s">
        <v>2993</v>
      </c>
      <c r="J188" s="207" t="s">
        <v>2994</v>
      </c>
      <c r="K188" s="97"/>
      <c r="L188" s="97"/>
      <c r="M188" s="97"/>
      <c r="N188" s="97"/>
      <c r="O188" s="97"/>
      <c r="P188" s="97"/>
      <c r="Q188" s="97"/>
      <c r="R188" s="97"/>
      <c r="S188" s="97"/>
      <c r="T188" s="97"/>
      <c r="U188" s="97"/>
      <c r="V188" s="97"/>
      <c r="W188" s="97"/>
      <c r="X188" s="97"/>
      <c r="Y188" s="97"/>
    </row>
    <row r="189" hidden="1">
      <c r="A189" s="181" t="s">
        <v>2995</v>
      </c>
      <c r="B189" s="179"/>
      <c r="C189" s="179"/>
      <c r="D189" s="179"/>
      <c r="E189" s="180"/>
      <c r="F189" s="115" t="b">
        <v>1</v>
      </c>
      <c r="G189" s="115" t="b">
        <v>0</v>
      </c>
      <c r="H189" s="155"/>
      <c r="I189" s="116"/>
      <c r="J189" s="116"/>
    </row>
    <row r="190">
      <c r="A190" s="192" t="s">
        <v>2996</v>
      </c>
      <c r="B190" s="51" t="s">
        <v>2997</v>
      </c>
      <c r="C190" s="51" t="s">
        <v>2998</v>
      </c>
      <c r="D190" s="51" t="s">
        <v>2861</v>
      </c>
      <c r="E190" s="51" t="s">
        <v>2999</v>
      </c>
      <c r="F190" s="53" t="b">
        <f>IF(F189=TRUE,TRUE,FALSE)</f>
        <v>1</v>
      </c>
      <c r="G190" s="53" t="s">
        <v>1519</v>
      </c>
      <c r="H190" s="76" t="s">
        <v>533</v>
      </c>
      <c r="I190" s="51" t="str">
        <f>IF(G190=TRUE,I189,"")</f>
        <v/>
      </c>
      <c r="J190" s="207" t="s">
        <v>3000</v>
      </c>
      <c r="K190" s="97"/>
      <c r="L190" s="97"/>
      <c r="M190" s="97"/>
      <c r="N190" s="97"/>
      <c r="O190" s="97"/>
      <c r="P190" s="97"/>
      <c r="Q190" s="97"/>
      <c r="R190" s="97"/>
      <c r="S190" s="97"/>
      <c r="T190" s="97"/>
      <c r="U190" s="97"/>
      <c r="V190" s="97"/>
      <c r="W190" s="97"/>
      <c r="X190" s="97"/>
      <c r="Y190" s="97"/>
    </row>
    <row r="191" hidden="1">
      <c r="A191" s="187" t="s">
        <v>3001</v>
      </c>
      <c r="B191" s="30" t="s">
        <v>2997</v>
      </c>
      <c r="C191" s="30" t="s">
        <v>3002</v>
      </c>
      <c r="D191" s="30" t="s">
        <v>64</v>
      </c>
      <c r="E191" s="134"/>
      <c r="F191" s="118" t="b">
        <f t="shared" ref="F191:G191" si="96">IF(F189=TRUE,TRUE,FALSE)</f>
        <v>1</v>
      </c>
      <c r="G191" s="118" t="b">
        <f t="shared" si="96"/>
        <v>0</v>
      </c>
      <c r="H191" s="185"/>
      <c r="I191" s="186" t="str">
        <f>IF(G191=TRUE,I189,"")</f>
        <v/>
      </c>
      <c r="J191" s="186"/>
    </row>
    <row r="192" hidden="1">
      <c r="A192" s="181" t="s">
        <v>3003</v>
      </c>
      <c r="B192" s="179"/>
      <c r="C192" s="179"/>
      <c r="D192" s="179"/>
      <c r="E192" s="180"/>
      <c r="F192" s="115" t="b">
        <v>1</v>
      </c>
      <c r="G192" s="115" t="b">
        <v>0</v>
      </c>
      <c r="H192" s="155"/>
      <c r="I192" s="116"/>
      <c r="J192" s="116"/>
    </row>
    <row r="193" hidden="1">
      <c r="A193" s="184" t="s">
        <v>3004</v>
      </c>
      <c r="B193" s="25" t="s">
        <v>3005</v>
      </c>
      <c r="C193" s="25" t="s">
        <v>3006</v>
      </c>
      <c r="D193" s="25" t="s">
        <v>64</v>
      </c>
      <c r="E193" s="133"/>
      <c r="F193" s="121" t="b">
        <f t="shared" ref="F193:G193" si="97">IF(F192=TRUE,TRUE,FALSE)</f>
        <v>1</v>
      </c>
      <c r="G193" s="121" t="b">
        <f t="shared" si="97"/>
        <v>0</v>
      </c>
      <c r="H193" s="185"/>
      <c r="I193" s="186" t="str">
        <f>IF(G193=TRUE,I192,"")</f>
        <v/>
      </c>
      <c r="J193" s="186"/>
    </row>
    <row r="194" hidden="1">
      <c r="A194" s="178" t="s">
        <v>3007</v>
      </c>
      <c r="B194" s="179"/>
      <c r="C194" s="179"/>
      <c r="D194" s="179"/>
      <c r="E194" s="180"/>
      <c r="F194" s="12"/>
      <c r="G194" s="12"/>
      <c r="H194" s="72"/>
      <c r="I194" s="12"/>
      <c r="J194" s="12"/>
      <c r="K194" s="97"/>
      <c r="L194" s="97"/>
      <c r="M194" s="97"/>
      <c r="N194" s="97"/>
      <c r="O194" s="97"/>
      <c r="P194" s="97"/>
      <c r="Q194" s="97"/>
      <c r="R194" s="97"/>
      <c r="S194" s="97"/>
      <c r="T194" s="97"/>
      <c r="U194" s="97"/>
      <c r="V194" s="97"/>
      <c r="W194" s="97"/>
      <c r="X194" s="97"/>
      <c r="Y194" s="97"/>
    </row>
    <row r="195" hidden="1">
      <c r="A195" s="181" t="s">
        <v>3008</v>
      </c>
      <c r="B195" s="179"/>
      <c r="C195" s="179"/>
      <c r="D195" s="179"/>
      <c r="E195" s="180"/>
      <c r="F195" s="115" t="b">
        <v>1</v>
      </c>
      <c r="G195" s="115" t="b">
        <v>0</v>
      </c>
      <c r="H195" s="155"/>
      <c r="I195" s="116"/>
      <c r="J195" s="116"/>
    </row>
    <row r="196" hidden="1">
      <c r="A196" s="187" t="s">
        <v>3009</v>
      </c>
      <c r="B196" s="30" t="s">
        <v>3010</v>
      </c>
      <c r="C196" s="30" t="s">
        <v>3011</v>
      </c>
      <c r="D196" s="30" t="s">
        <v>64</v>
      </c>
      <c r="E196" s="30" t="s">
        <v>3012</v>
      </c>
      <c r="F196" s="118" t="b">
        <f t="shared" ref="F196:G196" si="98">IF(F195=TRUE,TRUE,FALSE)</f>
        <v>1</v>
      </c>
      <c r="G196" s="118" t="b">
        <f t="shared" si="98"/>
        <v>0</v>
      </c>
      <c r="H196" s="185"/>
      <c r="I196" s="186" t="str">
        <f>IF(G196=TRUE,I195,"")</f>
        <v/>
      </c>
      <c r="J196" s="186"/>
    </row>
    <row r="197" hidden="1">
      <c r="A197" s="178" t="s">
        <v>3013</v>
      </c>
      <c r="B197" s="179"/>
      <c r="C197" s="179"/>
      <c r="D197" s="179"/>
      <c r="E197" s="180"/>
      <c r="F197" s="12"/>
      <c r="G197" s="12"/>
      <c r="H197" s="72"/>
      <c r="I197" s="12"/>
      <c r="J197" s="12"/>
      <c r="K197" s="97"/>
      <c r="L197" s="97"/>
      <c r="M197" s="97"/>
      <c r="N197" s="97"/>
      <c r="O197" s="97"/>
      <c r="P197" s="97"/>
      <c r="Q197" s="97"/>
      <c r="R197" s="97"/>
      <c r="S197" s="97"/>
      <c r="T197" s="97"/>
      <c r="U197" s="97"/>
      <c r="V197" s="97"/>
      <c r="W197" s="97"/>
      <c r="X197" s="97"/>
      <c r="Y197" s="97"/>
    </row>
    <row r="198" hidden="1">
      <c r="A198" s="184" t="s">
        <v>3014</v>
      </c>
      <c r="B198" s="25" t="s">
        <v>3015</v>
      </c>
      <c r="C198" s="25" t="s">
        <v>3016</v>
      </c>
      <c r="D198" s="25" t="s">
        <v>64</v>
      </c>
      <c r="E198" s="25"/>
      <c r="F198" s="37" t="b">
        <v>1</v>
      </c>
      <c r="G198" s="24" t="b">
        <v>1</v>
      </c>
      <c r="H198" s="182" t="s">
        <v>1248</v>
      </c>
      <c r="I198" s="34"/>
      <c r="J198" s="208" t="s">
        <v>3017</v>
      </c>
      <c r="K198" s="97"/>
      <c r="L198" s="97"/>
      <c r="M198" s="97"/>
      <c r="N198" s="97"/>
      <c r="O198" s="97"/>
      <c r="P198" s="97"/>
      <c r="Q198" s="97"/>
      <c r="R198" s="97"/>
      <c r="S198" s="97"/>
      <c r="T198" s="97"/>
      <c r="U198" s="97"/>
      <c r="V198" s="97"/>
      <c r="W198" s="97"/>
      <c r="X198" s="97"/>
      <c r="Y198" s="97"/>
    </row>
    <row r="199" hidden="1">
      <c r="A199" s="66" t="s">
        <v>3018</v>
      </c>
      <c r="B199" s="22" t="s">
        <v>3015</v>
      </c>
      <c r="C199" s="22" t="s">
        <v>3019</v>
      </c>
      <c r="D199" s="22" t="s">
        <v>2861</v>
      </c>
      <c r="E199" s="22" t="s">
        <v>3020</v>
      </c>
      <c r="F199" s="24" t="b">
        <v>1</v>
      </c>
      <c r="G199" s="24" t="b">
        <v>1</v>
      </c>
      <c r="H199" s="182" t="s">
        <v>1248</v>
      </c>
      <c r="I199" s="195" t="s">
        <v>3021</v>
      </c>
      <c r="J199" s="26" t="s">
        <v>3022</v>
      </c>
      <c r="K199" s="97"/>
      <c r="L199" s="97"/>
      <c r="M199" s="97"/>
      <c r="N199" s="97"/>
      <c r="O199" s="97"/>
      <c r="P199" s="97"/>
      <c r="Q199" s="97"/>
      <c r="R199" s="97"/>
      <c r="S199" s="97"/>
      <c r="T199" s="97"/>
      <c r="U199" s="97"/>
      <c r="V199" s="97"/>
      <c r="W199" s="97"/>
      <c r="X199" s="97"/>
      <c r="Y199" s="97"/>
    </row>
    <row r="200" hidden="1">
      <c r="A200" s="184" t="s">
        <v>3023</v>
      </c>
      <c r="B200" s="25" t="s">
        <v>3015</v>
      </c>
      <c r="C200" s="25" t="s">
        <v>3024</v>
      </c>
      <c r="D200" s="25" t="s">
        <v>64</v>
      </c>
      <c r="E200" s="25"/>
      <c r="F200" s="37" t="b">
        <v>1</v>
      </c>
      <c r="G200" s="24" t="b">
        <v>1</v>
      </c>
      <c r="H200" s="182" t="s">
        <v>1248</v>
      </c>
      <c r="I200" s="34"/>
      <c r="J200" s="209" t="s">
        <v>3025</v>
      </c>
      <c r="K200" s="97"/>
      <c r="L200" s="97"/>
      <c r="M200" s="97"/>
      <c r="N200" s="97"/>
      <c r="O200" s="97"/>
      <c r="P200" s="97"/>
      <c r="Q200" s="97"/>
      <c r="R200" s="97"/>
      <c r="S200" s="97"/>
      <c r="T200" s="97"/>
      <c r="U200" s="97"/>
      <c r="V200" s="97"/>
      <c r="W200" s="97"/>
      <c r="X200" s="97"/>
      <c r="Y200" s="97"/>
    </row>
    <row r="201" hidden="1">
      <c r="A201" s="187" t="s">
        <v>3026</v>
      </c>
      <c r="B201" s="30" t="s">
        <v>3015</v>
      </c>
      <c r="C201" s="30" t="s">
        <v>3027</v>
      </c>
      <c r="D201" s="30" t="s">
        <v>64</v>
      </c>
      <c r="E201" s="30"/>
      <c r="F201" s="33" t="b">
        <v>1</v>
      </c>
      <c r="G201" s="24" t="b">
        <v>1</v>
      </c>
      <c r="H201" s="182" t="s">
        <v>1248</v>
      </c>
      <c r="I201" s="34"/>
      <c r="J201" s="209" t="s">
        <v>3025</v>
      </c>
      <c r="K201" s="97"/>
      <c r="L201" s="97"/>
      <c r="M201" s="97"/>
      <c r="N201" s="97"/>
      <c r="O201" s="97"/>
      <c r="P201" s="97"/>
      <c r="Q201" s="97"/>
      <c r="R201" s="97"/>
      <c r="S201" s="97"/>
      <c r="T201" s="97"/>
      <c r="U201" s="97"/>
      <c r="V201" s="97"/>
      <c r="W201" s="97"/>
      <c r="X201" s="97"/>
      <c r="Y201" s="97"/>
    </row>
    <row r="202" hidden="1">
      <c r="A202" s="178" t="s">
        <v>3028</v>
      </c>
      <c r="B202" s="179"/>
      <c r="C202" s="179"/>
      <c r="D202" s="179"/>
      <c r="E202" s="180"/>
      <c r="F202" s="12"/>
      <c r="G202" s="12"/>
      <c r="H202" s="182"/>
      <c r="I202" s="12"/>
      <c r="J202" s="12"/>
      <c r="K202" s="97"/>
      <c r="L202" s="97"/>
      <c r="M202" s="97"/>
      <c r="N202" s="97"/>
      <c r="O202" s="97"/>
      <c r="P202" s="97"/>
      <c r="Q202" s="97"/>
      <c r="R202" s="97"/>
      <c r="S202" s="97"/>
      <c r="T202" s="97"/>
      <c r="U202" s="97"/>
      <c r="V202" s="97"/>
      <c r="W202" s="97"/>
      <c r="X202" s="97"/>
      <c r="Y202" s="97"/>
    </row>
    <row r="203">
      <c r="A203" s="184" t="s">
        <v>3029</v>
      </c>
      <c r="B203" s="25" t="s">
        <v>3030</v>
      </c>
      <c r="C203" s="25" t="s">
        <v>3031</v>
      </c>
      <c r="D203" s="25" t="s">
        <v>64</v>
      </c>
      <c r="E203" s="25"/>
      <c r="F203" s="37" t="b">
        <v>1</v>
      </c>
      <c r="G203" s="24" t="b">
        <v>1</v>
      </c>
      <c r="H203" s="182" t="s">
        <v>17</v>
      </c>
      <c r="I203" s="34"/>
      <c r="J203" s="209" t="s">
        <v>3032</v>
      </c>
      <c r="K203" s="97"/>
      <c r="L203" s="97"/>
      <c r="M203" s="97"/>
      <c r="N203" s="97"/>
      <c r="O203" s="97"/>
      <c r="P203" s="97"/>
      <c r="Q203" s="97"/>
      <c r="R203" s="97"/>
      <c r="S203" s="97"/>
      <c r="T203" s="97"/>
      <c r="U203" s="97"/>
      <c r="V203" s="97"/>
      <c r="W203" s="97"/>
      <c r="X203" s="97"/>
      <c r="Y203" s="97"/>
    </row>
    <row r="204">
      <c r="A204" s="187" t="s">
        <v>3033</v>
      </c>
      <c r="B204" s="30" t="s">
        <v>3030</v>
      </c>
      <c r="C204" s="30" t="s">
        <v>3034</v>
      </c>
      <c r="D204" s="30" t="s">
        <v>64</v>
      </c>
      <c r="E204" s="30"/>
      <c r="F204" s="33" t="b">
        <v>0</v>
      </c>
      <c r="G204" s="24" t="b">
        <v>1</v>
      </c>
      <c r="H204" s="182" t="s">
        <v>17</v>
      </c>
      <c r="I204" s="34"/>
      <c r="J204" s="209" t="s">
        <v>3032</v>
      </c>
      <c r="K204" s="97"/>
      <c r="L204" s="97"/>
      <c r="M204" s="97"/>
      <c r="N204" s="97"/>
      <c r="O204" s="97"/>
      <c r="P204" s="97"/>
      <c r="Q204" s="97"/>
      <c r="R204" s="97"/>
      <c r="S204" s="97"/>
      <c r="T204" s="97"/>
      <c r="U204" s="97"/>
      <c r="V204" s="97"/>
      <c r="W204" s="97"/>
      <c r="X204" s="97"/>
      <c r="Y204" s="97"/>
    </row>
    <row r="205" hidden="1">
      <c r="A205" s="178" t="s">
        <v>3035</v>
      </c>
      <c r="B205" s="179"/>
      <c r="C205" s="179"/>
      <c r="D205" s="179"/>
      <c r="E205" s="180"/>
      <c r="F205" s="12"/>
      <c r="G205" s="12"/>
      <c r="H205" s="72"/>
      <c r="I205" s="12"/>
      <c r="J205" s="12"/>
      <c r="K205" s="97"/>
      <c r="L205" s="97"/>
      <c r="M205" s="97"/>
      <c r="N205" s="97"/>
      <c r="O205" s="97"/>
      <c r="P205" s="97"/>
      <c r="Q205" s="97"/>
      <c r="R205" s="97"/>
      <c r="S205" s="97"/>
      <c r="T205" s="97"/>
      <c r="U205" s="97"/>
      <c r="V205" s="97"/>
      <c r="W205" s="97"/>
      <c r="X205" s="97"/>
      <c r="Y205" s="97"/>
    </row>
    <row r="206" hidden="1">
      <c r="A206" s="184" t="s">
        <v>3036</v>
      </c>
      <c r="B206" s="25" t="s">
        <v>3037</v>
      </c>
      <c r="C206" s="25" t="s">
        <v>3038</v>
      </c>
      <c r="D206" s="25" t="s">
        <v>64</v>
      </c>
      <c r="E206" s="25"/>
      <c r="F206" s="37" t="b">
        <v>1</v>
      </c>
      <c r="G206" s="44" t="b">
        <v>0</v>
      </c>
      <c r="H206" s="210" t="s">
        <v>17</v>
      </c>
      <c r="I206" s="34"/>
      <c r="J206" s="211" t="s">
        <v>3039</v>
      </c>
      <c r="K206" s="97"/>
      <c r="L206" s="97"/>
      <c r="M206" s="97"/>
      <c r="N206" s="97"/>
      <c r="O206" s="97"/>
      <c r="P206" s="97"/>
      <c r="Q206" s="97"/>
      <c r="R206" s="97"/>
      <c r="S206" s="97"/>
      <c r="T206" s="97"/>
      <c r="U206" s="97"/>
      <c r="V206" s="97"/>
      <c r="W206" s="97"/>
      <c r="X206" s="97"/>
      <c r="Y206" s="97"/>
    </row>
    <row r="207" hidden="1">
      <c r="A207" s="178" t="s">
        <v>3040</v>
      </c>
      <c r="B207" s="179"/>
      <c r="C207" s="179"/>
      <c r="D207" s="179"/>
      <c r="E207" s="180"/>
      <c r="F207" s="12"/>
      <c r="G207" s="12"/>
      <c r="H207" s="72"/>
      <c r="I207" s="12"/>
      <c r="J207" s="12"/>
      <c r="K207" s="97"/>
      <c r="L207" s="97"/>
      <c r="M207" s="97"/>
      <c r="N207" s="97"/>
      <c r="O207" s="97"/>
      <c r="P207" s="97"/>
      <c r="Q207" s="97"/>
      <c r="R207" s="97"/>
      <c r="S207" s="97"/>
      <c r="T207" s="97"/>
      <c r="U207" s="97"/>
      <c r="V207" s="97"/>
      <c r="W207" s="97"/>
      <c r="X207" s="97"/>
      <c r="Y207" s="97"/>
    </row>
    <row r="208" hidden="1">
      <c r="A208" s="187" t="s">
        <v>3041</v>
      </c>
      <c r="B208" s="30" t="s">
        <v>3042</v>
      </c>
      <c r="C208" s="30" t="s">
        <v>3043</v>
      </c>
      <c r="D208" s="30" t="s">
        <v>64</v>
      </c>
      <c r="E208" s="30"/>
      <c r="F208" s="33" t="b">
        <v>1</v>
      </c>
      <c r="G208" s="30"/>
      <c r="H208" s="182" t="s">
        <v>3044</v>
      </c>
      <c r="I208" s="34"/>
      <c r="J208" s="209" t="s">
        <v>3045</v>
      </c>
      <c r="K208" s="97"/>
      <c r="L208" s="97"/>
      <c r="M208" s="97"/>
      <c r="N208" s="97"/>
      <c r="O208" s="97"/>
      <c r="P208" s="97"/>
      <c r="Q208" s="97"/>
      <c r="R208" s="97"/>
      <c r="S208" s="97"/>
      <c r="T208" s="97"/>
      <c r="U208" s="97"/>
      <c r="V208" s="97"/>
      <c r="W208" s="97"/>
      <c r="X208" s="97"/>
      <c r="Y208" s="97"/>
    </row>
    <row r="209" hidden="1">
      <c r="A209" s="178" t="s">
        <v>3046</v>
      </c>
      <c r="B209" s="179"/>
      <c r="C209" s="179"/>
      <c r="D209" s="179"/>
      <c r="E209" s="180"/>
      <c r="F209" s="12"/>
      <c r="G209" s="12"/>
      <c r="H209" s="72"/>
      <c r="I209" s="12"/>
      <c r="J209" s="12"/>
      <c r="K209" s="97"/>
      <c r="L209" s="97"/>
      <c r="M209" s="97"/>
      <c r="N209" s="97"/>
      <c r="O209" s="97"/>
      <c r="P209" s="97"/>
      <c r="Q209" s="97"/>
      <c r="R209" s="97"/>
      <c r="S209" s="97"/>
      <c r="T209" s="97"/>
      <c r="U209" s="97"/>
      <c r="V209" s="97"/>
      <c r="W209" s="97"/>
      <c r="X209" s="97"/>
      <c r="Y209" s="97"/>
    </row>
    <row r="210" hidden="1">
      <c r="A210" s="181" t="s">
        <v>3047</v>
      </c>
      <c r="B210" s="179"/>
      <c r="C210" s="179"/>
      <c r="D210" s="179"/>
      <c r="E210" s="180"/>
      <c r="F210" s="115" t="b">
        <v>1</v>
      </c>
      <c r="G210" s="115" t="b">
        <v>0</v>
      </c>
      <c r="H210" s="155"/>
      <c r="I210" s="116"/>
      <c r="J210" s="116"/>
    </row>
    <row r="211" hidden="1">
      <c r="A211" s="184" t="s">
        <v>3048</v>
      </c>
      <c r="B211" s="25" t="s">
        <v>3049</v>
      </c>
      <c r="C211" s="25" t="s">
        <v>3050</v>
      </c>
      <c r="D211" s="25" t="s">
        <v>284</v>
      </c>
      <c r="E211" s="25" t="s">
        <v>3051</v>
      </c>
      <c r="F211" s="121" t="b">
        <v>0</v>
      </c>
      <c r="G211" s="121" t="b">
        <f>IF(G210=TRUE,TRUE,FALSE)</f>
        <v>0</v>
      </c>
      <c r="H211" s="185"/>
      <c r="I211" s="186" t="str">
        <f>IF(G211=TRUE,I210,"")</f>
        <v/>
      </c>
      <c r="J211" s="186"/>
    </row>
    <row r="212" hidden="1">
      <c r="A212" s="181" t="s">
        <v>3052</v>
      </c>
      <c r="B212" s="179"/>
      <c r="C212" s="179"/>
      <c r="D212" s="179"/>
      <c r="E212" s="180"/>
      <c r="F212" s="115" t="b">
        <v>1</v>
      </c>
      <c r="G212" s="115" t="b">
        <v>0</v>
      </c>
      <c r="H212" s="155"/>
      <c r="I212" s="116"/>
      <c r="J212" s="116"/>
    </row>
    <row r="213" hidden="1">
      <c r="A213" s="187" t="s">
        <v>3053</v>
      </c>
      <c r="B213" s="30" t="s">
        <v>3054</v>
      </c>
      <c r="C213" s="30" t="s">
        <v>3055</v>
      </c>
      <c r="D213" s="30" t="s">
        <v>284</v>
      </c>
      <c r="E213" s="30" t="s">
        <v>3051</v>
      </c>
      <c r="F213" s="118" t="b">
        <v>0</v>
      </c>
      <c r="G213" s="118" t="b">
        <f>IF(G212=TRUE,TRUE,FALSE)</f>
        <v>0</v>
      </c>
      <c r="H213" s="185"/>
      <c r="I213" s="186" t="str">
        <f>IF(G213=TRUE,I212,"")</f>
        <v/>
      </c>
      <c r="J213" s="186"/>
    </row>
    <row r="214" hidden="1">
      <c r="A214" s="181" t="s">
        <v>3056</v>
      </c>
      <c r="B214" s="179"/>
      <c r="C214" s="179"/>
      <c r="D214" s="179"/>
      <c r="E214" s="180"/>
      <c r="F214" s="115" t="b">
        <v>1</v>
      </c>
      <c r="G214" s="115" t="b">
        <v>0</v>
      </c>
      <c r="H214" s="155"/>
      <c r="I214" s="116"/>
      <c r="J214" s="116"/>
    </row>
    <row r="215">
      <c r="A215" s="66" t="s">
        <v>3057</v>
      </c>
      <c r="B215" s="22" t="s">
        <v>3058</v>
      </c>
      <c r="C215" s="22" t="s">
        <v>3059</v>
      </c>
      <c r="D215" s="22" t="s">
        <v>284</v>
      </c>
      <c r="E215" s="22" t="s">
        <v>3060</v>
      </c>
      <c r="F215" s="24" t="b">
        <v>1</v>
      </c>
      <c r="G215" s="24" t="b">
        <v>1</v>
      </c>
      <c r="H215" s="182" t="s">
        <v>17</v>
      </c>
      <c r="I215" s="198" t="s">
        <v>3021</v>
      </c>
      <c r="J215" s="190" t="s">
        <v>3061</v>
      </c>
      <c r="K215" s="97"/>
      <c r="L215" s="97"/>
      <c r="M215" s="97"/>
      <c r="N215" s="97"/>
      <c r="O215" s="97"/>
      <c r="P215" s="97"/>
      <c r="Q215" s="97"/>
      <c r="R215" s="97"/>
      <c r="S215" s="97"/>
      <c r="T215" s="97"/>
      <c r="U215" s="97"/>
      <c r="V215" s="97"/>
      <c r="W215" s="97"/>
      <c r="X215" s="97"/>
      <c r="Y215" s="97"/>
    </row>
    <row r="216" hidden="1">
      <c r="A216" s="181" t="s">
        <v>3062</v>
      </c>
      <c r="B216" s="179"/>
      <c r="C216" s="179"/>
      <c r="D216" s="179"/>
      <c r="E216" s="180"/>
      <c r="F216" s="115" t="b">
        <v>1</v>
      </c>
      <c r="G216" s="115" t="b">
        <v>0</v>
      </c>
      <c r="H216" s="155"/>
      <c r="I216" s="116"/>
      <c r="J216" s="116"/>
    </row>
    <row r="217" hidden="1">
      <c r="A217" s="187" t="s">
        <v>3063</v>
      </c>
      <c r="B217" s="30" t="s">
        <v>3064</v>
      </c>
      <c r="C217" s="30" t="s">
        <v>3065</v>
      </c>
      <c r="D217" s="30" t="s">
        <v>64</v>
      </c>
      <c r="E217" s="134"/>
      <c r="F217" s="118" t="b">
        <f>IF(F216=TRUE,TRUE,FALSE)</f>
        <v>1</v>
      </c>
      <c r="G217" s="118" t="b">
        <v>0</v>
      </c>
      <c r="H217" s="185"/>
      <c r="I217" s="186" t="str">
        <f>IF(G217=TRUE,I216,"")</f>
        <v/>
      </c>
      <c r="J217" s="186"/>
    </row>
    <row r="218" hidden="1">
      <c r="A218" s="184" t="s">
        <v>3066</v>
      </c>
      <c r="B218" s="25" t="s">
        <v>3064</v>
      </c>
      <c r="C218" s="25" t="s">
        <v>3067</v>
      </c>
      <c r="D218" s="25" t="s">
        <v>284</v>
      </c>
      <c r="E218" s="25" t="s">
        <v>3051</v>
      </c>
      <c r="F218" s="121" t="b">
        <f>IF(F216=TRUE,TRUE,FALSE)</f>
        <v>1</v>
      </c>
      <c r="G218" s="121" t="b">
        <v>0</v>
      </c>
      <c r="H218" s="185"/>
      <c r="I218" s="186" t="str">
        <f>IF(G218=TRUE,I216,"")</f>
        <v/>
      </c>
      <c r="J218" s="212" t="s">
        <v>3068</v>
      </c>
    </row>
    <row r="219" hidden="1">
      <c r="A219" s="178" t="s">
        <v>3069</v>
      </c>
      <c r="B219" s="179"/>
      <c r="C219" s="179"/>
      <c r="D219" s="179"/>
      <c r="E219" s="180"/>
      <c r="F219" s="12"/>
      <c r="G219" s="12"/>
      <c r="H219" s="72"/>
      <c r="I219" s="12"/>
      <c r="J219" s="12"/>
      <c r="K219" s="97"/>
      <c r="L219" s="97"/>
      <c r="M219" s="97"/>
      <c r="N219" s="97"/>
      <c r="O219" s="97"/>
      <c r="P219" s="97"/>
      <c r="Q219" s="97"/>
      <c r="R219" s="97"/>
      <c r="S219" s="97"/>
      <c r="T219" s="97"/>
      <c r="U219" s="97"/>
      <c r="V219" s="97"/>
      <c r="W219" s="97"/>
      <c r="X219" s="97"/>
      <c r="Y219" s="97"/>
    </row>
    <row r="220" hidden="1">
      <c r="A220" s="187" t="s">
        <v>3070</v>
      </c>
      <c r="B220" s="30" t="s">
        <v>2489</v>
      </c>
      <c r="C220" s="30" t="s">
        <v>3071</v>
      </c>
      <c r="D220" s="30" t="s">
        <v>64</v>
      </c>
      <c r="E220" s="30"/>
      <c r="F220" s="33" t="b">
        <v>1</v>
      </c>
      <c r="G220" s="213" t="b">
        <v>0</v>
      </c>
      <c r="H220" s="213" t="s">
        <v>17</v>
      </c>
      <c r="I220" s="34"/>
      <c r="J220" s="211" t="s">
        <v>3039</v>
      </c>
      <c r="K220" s="97"/>
      <c r="L220" s="97"/>
      <c r="M220" s="97"/>
      <c r="N220" s="97"/>
      <c r="O220" s="97"/>
      <c r="P220" s="97"/>
      <c r="Q220" s="97"/>
      <c r="R220" s="97"/>
      <c r="S220" s="97"/>
      <c r="T220" s="97"/>
      <c r="U220" s="97"/>
      <c r="V220" s="97"/>
      <c r="W220" s="97"/>
      <c r="X220" s="97"/>
      <c r="Y220" s="97"/>
    </row>
    <row r="221" hidden="1">
      <c r="A221" s="178" t="s">
        <v>3072</v>
      </c>
      <c r="B221" s="179"/>
      <c r="C221" s="179"/>
      <c r="D221" s="179"/>
      <c r="E221" s="180"/>
      <c r="F221" s="12"/>
      <c r="G221" s="12"/>
      <c r="H221" s="72"/>
      <c r="I221" s="12"/>
      <c r="J221" s="12"/>
      <c r="K221" s="97"/>
      <c r="L221" s="97"/>
      <c r="M221" s="97"/>
      <c r="N221" s="97"/>
      <c r="O221" s="97"/>
      <c r="P221" s="97"/>
      <c r="Q221" s="97"/>
      <c r="R221" s="97"/>
      <c r="S221" s="97"/>
      <c r="T221" s="97"/>
      <c r="U221" s="97"/>
      <c r="V221" s="97"/>
      <c r="W221" s="97"/>
      <c r="X221" s="97"/>
      <c r="Y221" s="97"/>
    </row>
    <row r="222" hidden="1">
      <c r="A222" s="192" t="s">
        <v>3073</v>
      </c>
      <c r="B222" s="51" t="s">
        <v>3074</v>
      </c>
      <c r="C222" s="51" t="s">
        <v>3075</v>
      </c>
      <c r="D222" s="51" t="s">
        <v>2861</v>
      </c>
      <c r="E222" s="51" t="s">
        <v>3076</v>
      </c>
      <c r="F222" s="53" t="b">
        <v>1</v>
      </c>
      <c r="G222" s="53" t="s">
        <v>1519</v>
      </c>
      <c r="H222" s="52" t="s">
        <v>104</v>
      </c>
      <c r="I222" s="51"/>
      <c r="J222" s="214" t="s">
        <v>3077</v>
      </c>
      <c r="K222" s="97"/>
      <c r="L222" s="97"/>
      <c r="M222" s="97"/>
      <c r="N222" s="97"/>
      <c r="O222" s="97"/>
      <c r="P222" s="97"/>
      <c r="Q222" s="97"/>
      <c r="R222" s="97"/>
      <c r="S222" s="97"/>
      <c r="T222" s="97"/>
      <c r="U222" s="97"/>
      <c r="V222" s="97"/>
      <c r="W222" s="97"/>
      <c r="X222" s="97"/>
      <c r="Y222" s="97"/>
    </row>
    <row r="223" hidden="1">
      <c r="A223" s="192" t="s">
        <v>3078</v>
      </c>
      <c r="B223" s="51" t="s">
        <v>3074</v>
      </c>
      <c r="C223" s="51" t="s">
        <v>3079</v>
      </c>
      <c r="D223" s="51" t="s">
        <v>2861</v>
      </c>
      <c r="E223" s="51" t="s">
        <v>3080</v>
      </c>
      <c r="F223" s="53" t="b">
        <v>1</v>
      </c>
      <c r="G223" s="53" t="s">
        <v>1519</v>
      </c>
      <c r="H223" s="52" t="s">
        <v>104</v>
      </c>
      <c r="I223" s="51"/>
      <c r="J223" s="214" t="s">
        <v>3077</v>
      </c>
      <c r="K223" s="97"/>
      <c r="L223" s="97"/>
      <c r="M223" s="97"/>
      <c r="N223" s="97"/>
      <c r="O223" s="97"/>
      <c r="P223" s="97"/>
      <c r="Q223" s="97"/>
      <c r="R223" s="97"/>
      <c r="S223" s="97"/>
      <c r="T223" s="97"/>
      <c r="U223" s="97"/>
      <c r="V223" s="97"/>
      <c r="W223" s="97"/>
      <c r="X223" s="97"/>
      <c r="Y223" s="97"/>
    </row>
    <row r="224" hidden="1">
      <c r="A224" s="184" t="s">
        <v>3081</v>
      </c>
      <c r="B224" s="25" t="s">
        <v>3074</v>
      </c>
      <c r="C224" s="25" t="s">
        <v>3082</v>
      </c>
      <c r="D224" s="25" t="s">
        <v>64</v>
      </c>
      <c r="E224" s="25"/>
      <c r="F224" s="37" t="b">
        <v>1</v>
      </c>
      <c r="G224" s="25"/>
      <c r="H224" s="39" t="s">
        <v>104</v>
      </c>
      <c r="I224" s="34"/>
      <c r="J224" s="34"/>
      <c r="K224" s="97"/>
      <c r="L224" s="97"/>
      <c r="M224" s="97"/>
      <c r="N224" s="97"/>
      <c r="O224" s="97"/>
      <c r="P224" s="97"/>
      <c r="Q224" s="97"/>
      <c r="R224" s="97"/>
      <c r="S224" s="97"/>
      <c r="T224" s="97"/>
      <c r="U224" s="97"/>
      <c r="V224" s="97"/>
      <c r="W224" s="97"/>
      <c r="X224" s="97"/>
      <c r="Y224" s="97"/>
    </row>
    <row r="225">
      <c r="A225" s="192" t="s">
        <v>3083</v>
      </c>
      <c r="B225" s="51" t="s">
        <v>3084</v>
      </c>
      <c r="C225" s="51" t="s">
        <v>3085</v>
      </c>
      <c r="D225" s="51" t="s">
        <v>284</v>
      </c>
      <c r="E225" s="51" t="s">
        <v>3086</v>
      </c>
      <c r="F225" s="53" t="b">
        <v>1</v>
      </c>
      <c r="G225" s="53" t="s">
        <v>1519</v>
      </c>
      <c r="H225" s="76" t="s">
        <v>17</v>
      </c>
      <c r="I225" s="51"/>
      <c r="J225" s="207" t="s">
        <v>3087</v>
      </c>
      <c r="K225" s="97"/>
      <c r="L225" s="97"/>
      <c r="M225" s="97"/>
      <c r="N225" s="97"/>
      <c r="O225" s="97"/>
      <c r="P225" s="97"/>
      <c r="Q225" s="97"/>
      <c r="R225" s="97"/>
      <c r="S225" s="97"/>
      <c r="T225" s="97"/>
      <c r="U225" s="97"/>
      <c r="V225" s="97"/>
      <c r="W225" s="97"/>
      <c r="X225" s="97"/>
      <c r="Y225" s="97"/>
    </row>
    <row r="226" hidden="1">
      <c r="A226" s="178" t="s">
        <v>3088</v>
      </c>
      <c r="B226" s="179"/>
      <c r="C226" s="179"/>
      <c r="D226" s="179"/>
      <c r="E226" s="180"/>
      <c r="F226" s="12"/>
      <c r="G226" s="12"/>
      <c r="H226" s="72"/>
      <c r="I226" s="12"/>
      <c r="J226" s="12"/>
      <c r="K226" s="97"/>
      <c r="L226" s="97"/>
      <c r="M226" s="97"/>
      <c r="N226" s="97"/>
      <c r="O226" s="97"/>
      <c r="P226" s="97"/>
      <c r="Q226" s="97"/>
      <c r="R226" s="97"/>
      <c r="S226" s="97"/>
      <c r="T226" s="97"/>
      <c r="U226" s="97"/>
      <c r="V226" s="97"/>
      <c r="W226" s="97"/>
      <c r="X226" s="97"/>
      <c r="Y226" s="97"/>
    </row>
    <row r="227">
      <c r="A227" s="184" t="s">
        <v>3089</v>
      </c>
      <c r="B227" s="25" t="s">
        <v>3090</v>
      </c>
      <c r="C227" s="25" t="s">
        <v>3091</v>
      </c>
      <c r="D227" s="25" t="s">
        <v>64</v>
      </c>
      <c r="E227" s="25"/>
      <c r="F227" s="37" t="b">
        <v>1</v>
      </c>
      <c r="G227" s="26" t="b">
        <v>1</v>
      </c>
      <c r="H227" s="182" t="s">
        <v>17</v>
      </c>
      <c r="I227" s="34"/>
      <c r="J227" s="209" t="s">
        <v>3092</v>
      </c>
      <c r="K227" s="97"/>
      <c r="L227" s="97"/>
      <c r="M227" s="97"/>
      <c r="N227" s="97"/>
      <c r="O227" s="97"/>
      <c r="P227" s="97"/>
      <c r="Q227" s="97"/>
      <c r="R227" s="97"/>
      <c r="S227" s="97"/>
      <c r="T227" s="97"/>
      <c r="U227" s="97"/>
      <c r="V227" s="97"/>
      <c r="W227" s="97"/>
      <c r="X227" s="97"/>
      <c r="Y227" s="97"/>
    </row>
    <row r="228" hidden="1">
      <c r="A228" s="187" t="s">
        <v>3093</v>
      </c>
      <c r="B228" s="30" t="s">
        <v>3094</v>
      </c>
      <c r="C228" s="30" t="s">
        <v>3095</v>
      </c>
      <c r="D228" s="30" t="s">
        <v>64</v>
      </c>
      <c r="E228" s="30"/>
      <c r="F228" s="33" t="b">
        <v>1</v>
      </c>
      <c r="G228" s="213" t="b">
        <v>0</v>
      </c>
      <c r="H228" s="182" t="s">
        <v>17</v>
      </c>
      <c r="I228" s="34"/>
      <c r="J228" s="211" t="s">
        <v>3096</v>
      </c>
      <c r="K228" s="97"/>
      <c r="L228" s="97"/>
      <c r="M228" s="97"/>
      <c r="N228" s="97"/>
      <c r="O228" s="97"/>
      <c r="P228" s="97"/>
      <c r="Q228" s="97"/>
      <c r="R228" s="97"/>
      <c r="S228" s="97"/>
      <c r="T228" s="97"/>
      <c r="U228" s="97"/>
      <c r="V228" s="97"/>
      <c r="W228" s="97"/>
      <c r="X228" s="97"/>
      <c r="Y228" s="97"/>
    </row>
    <row r="229" hidden="1">
      <c r="A229" s="184" t="s">
        <v>3097</v>
      </c>
      <c r="B229" s="25" t="s">
        <v>3098</v>
      </c>
      <c r="C229" s="25" t="s">
        <v>3099</v>
      </c>
      <c r="D229" s="25" t="s">
        <v>64</v>
      </c>
      <c r="E229" s="25"/>
      <c r="F229" s="37" t="b">
        <v>1</v>
      </c>
      <c r="G229" s="26" t="b">
        <v>0</v>
      </c>
      <c r="H229" s="182" t="s">
        <v>17</v>
      </c>
      <c r="I229" s="34"/>
      <c r="J229" s="211" t="s">
        <v>3096</v>
      </c>
      <c r="K229" s="97"/>
      <c r="L229" s="97"/>
      <c r="M229" s="97"/>
      <c r="N229" s="97"/>
      <c r="O229" s="97"/>
      <c r="P229" s="97"/>
      <c r="Q229" s="97"/>
      <c r="R229" s="97"/>
      <c r="S229" s="97"/>
      <c r="T229" s="97"/>
      <c r="U229" s="97"/>
      <c r="V229" s="97"/>
      <c r="W229" s="97"/>
      <c r="X229" s="97"/>
      <c r="Y229" s="97"/>
    </row>
    <row r="230" hidden="1">
      <c r="A230" s="178" t="s">
        <v>3100</v>
      </c>
      <c r="B230" s="179"/>
      <c r="C230" s="179"/>
      <c r="D230" s="179"/>
      <c r="E230" s="180"/>
      <c r="F230" s="12"/>
      <c r="G230" s="12"/>
      <c r="H230" s="72"/>
      <c r="I230" s="12"/>
      <c r="J230" s="12"/>
      <c r="K230" s="97"/>
      <c r="L230" s="97"/>
      <c r="M230" s="97"/>
      <c r="N230" s="97"/>
      <c r="O230" s="97"/>
      <c r="P230" s="97"/>
      <c r="Q230" s="97"/>
      <c r="R230" s="97"/>
      <c r="S230" s="97"/>
      <c r="T230" s="97"/>
      <c r="U230" s="97"/>
      <c r="V230" s="97"/>
      <c r="W230" s="97"/>
      <c r="X230" s="97"/>
      <c r="Y230" s="97"/>
    </row>
    <row r="231" hidden="1">
      <c r="A231" s="181" t="s">
        <v>3101</v>
      </c>
      <c r="B231" s="179"/>
      <c r="C231" s="179"/>
      <c r="D231" s="179"/>
      <c r="E231" s="180"/>
      <c r="F231" s="115" t="b">
        <v>1</v>
      </c>
      <c r="G231" s="115" t="b">
        <v>0</v>
      </c>
      <c r="H231" s="155"/>
      <c r="I231" s="116"/>
      <c r="J231" s="116"/>
    </row>
    <row r="232">
      <c r="A232" s="192" t="s">
        <v>3102</v>
      </c>
      <c r="B232" s="51" t="s">
        <v>752</v>
      </c>
      <c r="C232" s="51" t="s">
        <v>3103</v>
      </c>
      <c r="D232" s="51" t="s">
        <v>2861</v>
      </c>
      <c r="E232" s="51" t="s">
        <v>3104</v>
      </c>
      <c r="F232" s="53" t="b">
        <f>IF(F231=TRUE,TRUE,FALSE)</f>
        <v>1</v>
      </c>
      <c r="G232" s="53" t="s">
        <v>1519</v>
      </c>
      <c r="H232" s="76" t="s">
        <v>17</v>
      </c>
      <c r="I232" s="51" t="str">
        <f>IF(G232=TRUE,I231,"")</f>
        <v/>
      </c>
      <c r="J232" s="215" t="s">
        <v>3105</v>
      </c>
      <c r="K232" s="97"/>
      <c r="L232" s="97"/>
      <c r="M232" s="97"/>
      <c r="N232" s="97"/>
      <c r="O232" s="97"/>
      <c r="P232" s="97"/>
      <c r="Q232" s="97"/>
      <c r="R232" s="97"/>
      <c r="S232" s="97"/>
      <c r="T232" s="97"/>
      <c r="U232" s="97"/>
      <c r="V232" s="97"/>
      <c r="W232" s="97"/>
      <c r="X232" s="97"/>
      <c r="Y232" s="97"/>
    </row>
    <row r="233" hidden="1">
      <c r="A233" s="184" t="s">
        <v>3106</v>
      </c>
      <c r="B233" s="25" t="s">
        <v>3107</v>
      </c>
      <c r="C233" s="25" t="s">
        <v>3108</v>
      </c>
      <c r="D233" s="25" t="s">
        <v>64</v>
      </c>
      <c r="E233" s="133"/>
      <c r="F233" s="121" t="b">
        <f t="shared" ref="F233:G233" si="99">IF(F231=TRUE,TRUE,FALSE)</f>
        <v>1</v>
      </c>
      <c r="G233" s="121" t="b">
        <f t="shared" si="99"/>
        <v>0</v>
      </c>
      <c r="H233" s="185"/>
      <c r="I233" s="186" t="str">
        <f>IF(G233=TRUE,I231,"")</f>
        <v/>
      </c>
      <c r="J233" s="186"/>
    </row>
    <row r="234" hidden="1">
      <c r="A234" s="187" t="s">
        <v>3109</v>
      </c>
      <c r="B234" s="30" t="s">
        <v>3107</v>
      </c>
      <c r="C234" s="30" t="s">
        <v>3110</v>
      </c>
      <c r="D234" s="30" t="s">
        <v>64</v>
      </c>
      <c r="E234" s="134"/>
      <c r="F234" s="118" t="b">
        <f t="shared" ref="F234:G234" si="100">IF(F231=TRUE,TRUE,FALSE)</f>
        <v>1</v>
      </c>
      <c r="G234" s="118" t="b">
        <f t="shared" si="100"/>
        <v>0</v>
      </c>
      <c r="H234" s="185"/>
      <c r="I234" s="186" t="str">
        <f>IF(G234=TRUE,I231,"")</f>
        <v/>
      </c>
      <c r="J234" s="186"/>
    </row>
    <row r="235" hidden="1">
      <c r="A235" s="181" t="s">
        <v>3111</v>
      </c>
      <c r="B235" s="179"/>
      <c r="C235" s="179"/>
      <c r="D235" s="179"/>
      <c r="E235" s="180"/>
      <c r="F235" s="115" t="b">
        <v>1</v>
      </c>
      <c r="G235" s="115" t="b">
        <v>0</v>
      </c>
      <c r="H235" s="155"/>
      <c r="I235" s="116"/>
      <c r="J235" s="116"/>
    </row>
    <row r="236" hidden="1">
      <c r="A236" s="66" t="s">
        <v>3112</v>
      </c>
      <c r="B236" s="22" t="s">
        <v>3113</v>
      </c>
      <c r="C236" s="22" t="s">
        <v>3114</v>
      </c>
      <c r="D236" s="22" t="s">
        <v>2861</v>
      </c>
      <c r="E236" s="22" t="s">
        <v>3115</v>
      </c>
      <c r="F236" s="24" t="b">
        <f>IF(F235=TRUE,TRUE,FALSE)</f>
        <v>1</v>
      </c>
      <c r="G236" s="24" t="b">
        <v>1</v>
      </c>
      <c r="H236" s="182" t="s">
        <v>1248</v>
      </c>
      <c r="I236" s="25" t="str">
        <f>IF(G236=TRUE,I235,"")</f>
        <v/>
      </c>
      <c r="J236" s="183" t="s">
        <v>3116</v>
      </c>
      <c r="K236" s="97"/>
      <c r="L236" s="97"/>
      <c r="M236" s="97"/>
      <c r="N236" s="97"/>
      <c r="O236" s="97"/>
      <c r="P236" s="97"/>
      <c r="Q236" s="97"/>
      <c r="R236" s="97"/>
      <c r="S236" s="97"/>
      <c r="T236" s="97"/>
      <c r="U236" s="97"/>
      <c r="V236" s="97"/>
      <c r="W236" s="97"/>
      <c r="X236" s="97"/>
      <c r="Y236" s="97"/>
    </row>
    <row r="237" hidden="1">
      <c r="A237" s="181" t="s">
        <v>3117</v>
      </c>
      <c r="B237" s="179"/>
      <c r="C237" s="179"/>
      <c r="D237" s="179"/>
      <c r="E237" s="180"/>
      <c r="F237" s="115" t="b">
        <v>1</v>
      </c>
      <c r="G237" s="115" t="b">
        <v>0</v>
      </c>
      <c r="H237" s="155"/>
      <c r="I237" s="116"/>
      <c r="J237" s="116"/>
    </row>
    <row r="238" hidden="1">
      <c r="A238" s="187" t="s">
        <v>3118</v>
      </c>
      <c r="B238" s="30" t="s">
        <v>3119</v>
      </c>
      <c r="C238" s="30" t="s">
        <v>3120</v>
      </c>
      <c r="D238" s="30" t="s">
        <v>64</v>
      </c>
      <c r="E238" s="134"/>
      <c r="F238" s="118" t="b">
        <f t="shared" ref="F238:G238" si="101">IF(F237=TRUE,TRUE,FALSE)</f>
        <v>1</v>
      </c>
      <c r="G238" s="118" t="b">
        <f t="shared" si="101"/>
        <v>0</v>
      </c>
      <c r="H238" s="185"/>
      <c r="I238" s="186" t="str">
        <f>IF(G238=TRUE,I237,"")</f>
        <v/>
      </c>
      <c r="J238" s="186"/>
    </row>
    <row r="239" hidden="1">
      <c r="A239" s="184" t="s">
        <v>3121</v>
      </c>
      <c r="B239" s="25" t="s">
        <v>3122</v>
      </c>
      <c r="C239" s="25" t="s">
        <v>3123</v>
      </c>
      <c r="D239" s="25" t="s">
        <v>64</v>
      </c>
      <c r="E239" s="133"/>
      <c r="F239" s="121" t="b">
        <f t="shared" ref="F239:G239" si="102">IF(F237=TRUE,TRUE,FALSE)</f>
        <v>1</v>
      </c>
      <c r="G239" s="121" t="b">
        <f t="shared" si="102"/>
        <v>0</v>
      </c>
      <c r="H239" s="185"/>
      <c r="I239" s="186" t="str">
        <f>IF(G239=TRUE,I237,"")</f>
        <v/>
      </c>
      <c r="J239" s="186"/>
    </row>
    <row r="240" hidden="1">
      <c r="A240" s="181" t="s">
        <v>3124</v>
      </c>
      <c r="B240" s="179"/>
      <c r="C240" s="179"/>
      <c r="D240" s="179"/>
      <c r="E240" s="180"/>
      <c r="F240" s="115" t="b">
        <v>1</v>
      </c>
      <c r="G240" s="115" t="b">
        <v>0</v>
      </c>
      <c r="H240" s="155"/>
      <c r="I240" s="116"/>
      <c r="J240" s="116"/>
    </row>
    <row r="241" hidden="1">
      <c r="A241" s="187" t="s">
        <v>3125</v>
      </c>
      <c r="B241" s="30" t="s">
        <v>3126</v>
      </c>
      <c r="C241" s="30" t="s">
        <v>3127</v>
      </c>
      <c r="D241" s="30" t="s">
        <v>64</v>
      </c>
      <c r="E241" s="134"/>
      <c r="F241" s="118" t="b">
        <f t="shared" ref="F241:G241" si="103">IF(F240=TRUE,TRUE,FALSE)</f>
        <v>1</v>
      </c>
      <c r="G241" s="118" t="b">
        <f t="shared" si="103"/>
        <v>0</v>
      </c>
      <c r="H241" s="185"/>
      <c r="I241" s="186" t="str">
        <f>IF(G241=TRUE,I240,"")</f>
        <v/>
      </c>
      <c r="J241" s="186"/>
    </row>
    <row r="242" hidden="1">
      <c r="A242" s="184" t="s">
        <v>3128</v>
      </c>
      <c r="B242" s="25" t="s">
        <v>3126</v>
      </c>
      <c r="C242" s="25" t="s">
        <v>3129</v>
      </c>
      <c r="D242" s="25" t="s">
        <v>64</v>
      </c>
      <c r="E242" s="25" t="s">
        <v>2600</v>
      </c>
      <c r="F242" s="121" t="b">
        <f t="shared" ref="F242:G242" si="104">IF(F240=TRUE,TRUE,FALSE)</f>
        <v>1</v>
      </c>
      <c r="G242" s="121" t="b">
        <f t="shared" si="104"/>
        <v>0</v>
      </c>
      <c r="H242" s="185"/>
      <c r="I242" s="186" t="str">
        <f>IF(G242=TRUE,I240,"")</f>
        <v/>
      </c>
      <c r="J242" s="186"/>
    </row>
    <row r="243" hidden="1">
      <c r="A243" s="181" t="s">
        <v>3130</v>
      </c>
      <c r="B243" s="179"/>
      <c r="C243" s="179"/>
      <c r="D243" s="179"/>
      <c r="E243" s="180"/>
      <c r="F243" s="115" t="b">
        <v>1</v>
      </c>
      <c r="G243" s="115" t="b">
        <v>0</v>
      </c>
      <c r="H243" s="155"/>
      <c r="I243" s="116"/>
      <c r="J243" s="116"/>
    </row>
    <row r="244" hidden="1">
      <c r="A244" s="184" t="s">
        <v>3131</v>
      </c>
      <c r="B244" s="25" t="s">
        <v>3132</v>
      </c>
      <c r="C244" s="25" t="s">
        <v>3133</v>
      </c>
      <c r="D244" s="25" t="s">
        <v>15</v>
      </c>
      <c r="E244" s="25" t="s">
        <v>3134</v>
      </c>
      <c r="F244" s="121" t="b">
        <v>0</v>
      </c>
      <c r="G244" s="121" t="b">
        <v>0</v>
      </c>
      <c r="H244" s="158"/>
      <c r="I244" s="133" t="str">
        <f>IF(G244=TRUE,I243,"")</f>
        <v/>
      </c>
      <c r="J244" s="216" t="s">
        <v>3135</v>
      </c>
    </row>
    <row r="245" hidden="1">
      <c r="A245" s="181" t="s">
        <v>3136</v>
      </c>
      <c r="B245" s="179"/>
      <c r="C245" s="179"/>
      <c r="D245" s="179"/>
      <c r="E245" s="180"/>
      <c r="F245" s="115" t="b">
        <v>1</v>
      </c>
      <c r="G245" s="115" t="b">
        <v>0</v>
      </c>
      <c r="H245" s="155"/>
      <c r="I245" s="116"/>
      <c r="J245" s="116"/>
    </row>
    <row r="246" hidden="1">
      <c r="A246" s="184" t="s">
        <v>3137</v>
      </c>
      <c r="B246" s="25" t="s">
        <v>3138</v>
      </c>
      <c r="C246" s="25" t="s">
        <v>3139</v>
      </c>
      <c r="D246" s="25" t="s">
        <v>15</v>
      </c>
      <c r="E246" s="25" t="s">
        <v>3140</v>
      </c>
      <c r="F246" s="121" t="b">
        <f t="shared" ref="F246:G246" si="105">IF(F245=TRUE,TRUE,FALSE)</f>
        <v>1</v>
      </c>
      <c r="G246" s="121" t="b">
        <f t="shared" si="105"/>
        <v>0</v>
      </c>
      <c r="H246" s="185"/>
      <c r="I246" s="186" t="str">
        <f>IF(G246=TRUE,I245,"")</f>
        <v/>
      </c>
      <c r="J246" s="186"/>
    </row>
    <row r="247" hidden="1">
      <c r="A247" s="66" t="s">
        <v>3141</v>
      </c>
      <c r="B247" s="22" t="s">
        <v>3138</v>
      </c>
      <c r="C247" s="22" t="s">
        <v>3142</v>
      </c>
      <c r="D247" s="22" t="s">
        <v>15</v>
      </c>
      <c r="E247" s="22" t="s">
        <v>2835</v>
      </c>
      <c r="F247" s="24" t="b">
        <f>IF(F245=TRUE,TRUE,FALSE)</f>
        <v>1</v>
      </c>
      <c r="G247" s="24" t="b">
        <v>1</v>
      </c>
      <c r="H247" s="182" t="s">
        <v>1248</v>
      </c>
      <c r="I247" s="25" t="str">
        <f>IF(G247=TRUE,I245,"")</f>
        <v/>
      </c>
      <c r="J247" s="183" t="s">
        <v>3143</v>
      </c>
      <c r="K247" s="97"/>
      <c r="L247" s="97"/>
      <c r="M247" s="97"/>
      <c r="N247" s="97"/>
      <c r="O247" s="97"/>
      <c r="P247" s="97"/>
      <c r="Q247" s="97"/>
      <c r="R247" s="97"/>
      <c r="S247" s="97"/>
      <c r="T247" s="97"/>
      <c r="U247" s="97"/>
      <c r="V247" s="97"/>
      <c r="W247" s="97"/>
      <c r="X247" s="97"/>
      <c r="Y247" s="97"/>
    </row>
    <row r="248" hidden="1">
      <c r="A248" s="66" t="s">
        <v>3144</v>
      </c>
      <c r="B248" s="22" t="s">
        <v>3138</v>
      </c>
      <c r="C248" s="22" t="s">
        <v>3145</v>
      </c>
      <c r="D248" s="22" t="s">
        <v>15</v>
      </c>
      <c r="E248" s="22" t="s">
        <v>280</v>
      </c>
      <c r="F248" s="24" t="b">
        <f>IF(F245=TRUE,TRUE,FALSE)</f>
        <v>1</v>
      </c>
      <c r="G248" s="24" t="b">
        <v>1</v>
      </c>
      <c r="H248" s="182" t="s">
        <v>1248</v>
      </c>
      <c r="I248" s="25" t="str">
        <f>IF(G248=TRUE,I245,"")</f>
        <v/>
      </c>
      <c r="J248" s="183" t="s">
        <v>3143</v>
      </c>
      <c r="K248" s="97"/>
      <c r="L248" s="97"/>
      <c r="M248" s="97"/>
      <c r="N248" s="97"/>
      <c r="O248" s="97"/>
      <c r="P248" s="97"/>
      <c r="Q248" s="97"/>
      <c r="R248" s="97"/>
      <c r="S248" s="97"/>
      <c r="T248" s="97"/>
      <c r="U248" s="97"/>
      <c r="V248" s="97"/>
      <c r="W248" s="97"/>
      <c r="X248" s="97"/>
      <c r="Y248" s="97"/>
    </row>
    <row r="249" hidden="1">
      <c r="A249" s="178" t="s">
        <v>3146</v>
      </c>
      <c r="B249" s="179"/>
      <c r="C249" s="179"/>
      <c r="D249" s="179"/>
      <c r="E249" s="180"/>
      <c r="F249" s="12"/>
      <c r="G249" s="12"/>
      <c r="H249" s="72"/>
      <c r="I249" s="12"/>
      <c r="J249" s="12"/>
      <c r="K249" s="97"/>
      <c r="L249" s="97"/>
      <c r="M249" s="97"/>
      <c r="N249" s="97"/>
      <c r="O249" s="97"/>
      <c r="P249" s="97"/>
      <c r="Q249" s="97"/>
      <c r="R249" s="97"/>
      <c r="S249" s="97"/>
      <c r="T249" s="97"/>
      <c r="U249" s="97"/>
      <c r="V249" s="97"/>
      <c r="W249" s="97"/>
      <c r="X249" s="97"/>
      <c r="Y249" s="97"/>
    </row>
    <row r="250">
      <c r="A250" s="66" t="s">
        <v>3147</v>
      </c>
      <c r="B250" s="22" t="s">
        <v>3148</v>
      </c>
      <c r="C250" s="22" t="s">
        <v>3149</v>
      </c>
      <c r="D250" s="22" t="s">
        <v>64</v>
      </c>
      <c r="E250" s="22" t="s">
        <v>3150</v>
      </c>
      <c r="F250" s="24" t="b">
        <v>1</v>
      </c>
      <c r="G250" s="24" t="b">
        <v>1</v>
      </c>
      <c r="H250" s="182" t="s">
        <v>17</v>
      </c>
      <c r="I250" s="25"/>
      <c r="J250" s="183" t="s">
        <v>3151</v>
      </c>
      <c r="K250" s="97"/>
      <c r="L250" s="97"/>
      <c r="M250" s="97"/>
      <c r="N250" s="97"/>
      <c r="O250" s="97"/>
      <c r="P250" s="97"/>
      <c r="Q250" s="97"/>
      <c r="R250" s="97"/>
      <c r="S250" s="97"/>
      <c r="T250" s="97"/>
      <c r="U250" s="97"/>
      <c r="V250" s="97"/>
      <c r="W250" s="97"/>
      <c r="X250" s="97"/>
      <c r="Y250" s="97"/>
    </row>
    <row r="251">
      <c r="A251" s="66" t="s">
        <v>3152</v>
      </c>
      <c r="B251" s="22" t="s">
        <v>3148</v>
      </c>
      <c r="C251" s="22" t="s">
        <v>3153</v>
      </c>
      <c r="D251" s="22" t="s">
        <v>15</v>
      </c>
      <c r="E251" s="22" t="s">
        <v>3154</v>
      </c>
      <c r="F251" s="24" t="b">
        <v>1</v>
      </c>
      <c r="G251" s="24" t="b">
        <v>1</v>
      </c>
      <c r="H251" s="182" t="s">
        <v>17</v>
      </c>
      <c r="I251" s="25"/>
      <c r="J251" s="190" t="s">
        <v>3155</v>
      </c>
      <c r="K251" s="97"/>
      <c r="L251" s="97"/>
      <c r="M251" s="97"/>
      <c r="N251" s="97"/>
      <c r="O251" s="97"/>
      <c r="P251" s="97"/>
      <c r="Q251" s="97"/>
      <c r="R251" s="97"/>
      <c r="S251" s="97"/>
      <c r="T251" s="97"/>
      <c r="U251" s="97"/>
      <c r="V251" s="97"/>
      <c r="W251" s="97"/>
      <c r="X251" s="97"/>
      <c r="Y251" s="97"/>
    </row>
    <row r="252">
      <c r="A252" s="66" t="s">
        <v>3156</v>
      </c>
      <c r="B252" s="22" t="s">
        <v>3148</v>
      </c>
      <c r="C252" s="22" t="s">
        <v>3157</v>
      </c>
      <c r="D252" s="22" t="s">
        <v>284</v>
      </c>
      <c r="E252" s="22" t="s">
        <v>3158</v>
      </c>
      <c r="F252" s="24" t="b">
        <v>1</v>
      </c>
      <c r="G252" s="24" t="b">
        <v>1</v>
      </c>
      <c r="H252" s="182" t="s">
        <v>17</v>
      </c>
      <c r="I252" s="25"/>
      <c r="J252" s="190" t="s">
        <v>3159</v>
      </c>
      <c r="K252" s="97"/>
      <c r="L252" s="97"/>
      <c r="M252" s="97"/>
      <c r="N252" s="97"/>
      <c r="O252" s="97"/>
      <c r="P252" s="97"/>
      <c r="Q252" s="97"/>
      <c r="R252" s="97"/>
      <c r="S252" s="97"/>
      <c r="T252" s="97"/>
      <c r="U252" s="97"/>
      <c r="V252" s="97"/>
      <c r="W252" s="97"/>
      <c r="X252" s="97"/>
      <c r="Y252" s="97"/>
    </row>
    <row r="253" hidden="1">
      <c r="A253" s="178" t="s">
        <v>3160</v>
      </c>
      <c r="B253" s="179"/>
      <c r="C253" s="179"/>
      <c r="D253" s="179"/>
      <c r="E253" s="180"/>
      <c r="F253" s="12"/>
      <c r="G253" s="12"/>
      <c r="H253" s="72"/>
      <c r="I253" s="12"/>
      <c r="J253" s="12"/>
      <c r="K253" s="97"/>
      <c r="L253" s="97"/>
      <c r="M253" s="97"/>
      <c r="N253" s="97"/>
      <c r="O253" s="97"/>
      <c r="P253" s="97"/>
      <c r="Q253" s="97"/>
      <c r="R253" s="97"/>
      <c r="S253" s="97"/>
      <c r="T253" s="97"/>
      <c r="U253" s="97"/>
      <c r="V253" s="97"/>
      <c r="W253" s="97"/>
      <c r="X253" s="97"/>
      <c r="Y253" s="97"/>
    </row>
    <row r="254" hidden="1">
      <c r="A254" s="184" t="s">
        <v>3161</v>
      </c>
      <c r="B254" s="25" t="s">
        <v>3162</v>
      </c>
      <c r="C254" s="25" t="s">
        <v>3163</v>
      </c>
      <c r="D254" s="25" t="s">
        <v>64</v>
      </c>
      <c r="E254" s="25"/>
      <c r="F254" s="37" t="b">
        <v>1</v>
      </c>
      <c r="G254" s="25"/>
      <c r="H254" s="182" t="s">
        <v>59</v>
      </c>
      <c r="I254" s="34"/>
      <c r="J254" s="183" t="s">
        <v>3164</v>
      </c>
      <c r="K254" s="97"/>
      <c r="L254" s="97"/>
      <c r="M254" s="97"/>
      <c r="N254" s="97"/>
      <c r="O254" s="97"/>
      <c r="P254" s="97"/>
      <c r="Q254" s="97"/>
      <c r="R254" s="97"/>
      <c r="S254" s="97"/>
      <c r="T254" s="97"/>
      <c r="U254" s="97"/>
      <c r="V254" s="97"/>
      <c r="W254" s="97"/>
      <c r="X254" s="97"/>
      <c r="Y254" s="97"/>
    </row>
    <row r="255" hidden="1">
      <c r="A255" s="187" t="s">
        <v>3165</v>
      </c>
      <c r="B255" s="30" t="s">
        <v>3162</v>
      </c>
      <c r="C255" s="30" t="s">
        <v>3166</v>
      </c>
      <c r="D255" s="30" t="s">
        <v>64</v>
      </c>
      <c r="E255" s="30"/>
      <c r="F255" s="33" t="b">
        <v>1</v>
      </c>
      <c r="G255" s="30"/>
      <c r="H255" s="182" t="s">
        <v>59</v>
      </c>
      <c r="I255" s="34"/>
      <c r="J255" s="183" t="s">
        <v>3164</v>
      </c>
      <c r="K255" s="97"/>
      <c r="L255" s="97"/>
      <c r="M255" s="97"/>
      <c r="N255" s="97"/>
      <c r="O255" s="97"/>
      <c r="P255" s="97"/>
      <c r="Q255" s="97"/>
      <c r="R255" s="97"/>
      <c r="S255" s="97"/>
      <c r="T255" s="97"/>
      <c r="U255" s="97"/>
      <c r="V255" s="97"/>
      <c r="W255" s="97"/>
      <c r="X255" s="97"/>
      <c r="Y255" s="97"/>
    </row>
    <row r="256" hidden="1">
      <c r="A256" s="66" t="s">
        <v>3167</v>
      </c>
      <c r="B256" s="22" t="s">
        <v>3162</v>
      </c>
      <c r="C256" s="22" t="s">
        <v>3168</v>
      </c>
      <c r="D256" s="22" t="s">
        <v>15</v>
      </c>
      <c r="E256" s="22" t="s">
        <v>3169</v>
      </c>
      <c r="F256" s="24" t="b">
        <v>1</v>
      </c>
      <c r="G256" s="24" t="b">
        <v>1</v>
      </c>
      <c r="H256" s="182" t="s">
        <v>59</v>
      </c>
      <c r="I256" s="25"/>
      <c r="J256" s="183" t="s">
        <v>3164</v>
      </c>
      <c r="K256" s="97"/>
      <c r="L256" s="97"/>
      <c r="M256" s="97"/>
      <c r="N256" s="97"/>
      <c r="O256" s="97"/>
      <c r="P256" s="97"/>
      <c r="Q256" s="97"/>
      <c r="R256" s="97"/>
      <c r="S256" s="97"/>
      <c r="T256" s="97"/>
      <c r="U256" s="97"/>
      <c r="V256" s="97"/>
      <c r="W256" s="97"/>
      <c r="X256" s="97"/>
      <c r="Y256" s="97"/>
    </row>
    <row r="257" hidden="1">
      <c r="A257" s="178" t="s">
        <v>3170</v>
      </c>
      <c r="B257" s="179"/>
      <c r="C257" s="179"/>
      <c r="D257" s="179"/>
      <c r="E257" s="180"/>
      <c r="F257" s="12"/>
      <c r="G257" s="12"/>
      <c r="H257" s="72"/>
      <c r="I257" s="12"/>
      <c r="J257" s="12"/>
      <c r="K257" s="97"/>
      <c r="L257" s="97"/>
      <c r="M257" s="97"/>
      <c r="N257" s="97"/>
      <c r="O257" s="97"/>
      <c r="P257" s="97"/>
      <c r="Q257" s="97"/>
      <c r="R257" s="97"/>
      <c r="S257" s="97"/>
      <c r="T257" s="97"/>
      <c r="U257" s="97"/>
      <c r="V257" s="97"/>
      <c r="W257" s="97"/>
      <c r="X257" s="97"/>
      <c r="Y257" s="97"/>
    </row>
    <row r="258" hidden="1">
      <c r="A258" s="187" t="s">
        <v>3171</v>
      </c>
      <c r="B258" s="30" t="s">
        <v>3172</v>
      </c>
      <c r="C258" s="30" t="s">
        <v>3173</v>
      </c>
      <c r="D258" s="30" t="s">
        <v>64</v>
      </c>
      <c r="E258" s="30"/>
      <c r="F258" s="33" t="b">
        <v>1</v>
      </c>
      <c r="G258" s="30"/>
      <c r="H258" s="182" t="s">
        <v>3174</v>
      </c>
      <c r="I258" s="34"/>
      <c r="J258" s="209" t="s">
        <v>3175</v>
      </c>
      <c r="K258" s="97"/>
      <c r="L258" s="97"/>
      <c r="M258" s="97"/>
      <c r="N258" s="97"/>
      <c r="O258" s="97"/>
      <c r="P258" s="97"/>
      <c r="Q258" s="97"/>
      <c r="R258" s="97"/>
      <c r="S258" s="97"/>
      <c r="T258" s="97"/>
      <c r="U258" s="97"/>
      <c r="V258" s="97"/>
      <c r="W258" s="97"/>
      <c r="X258" s="97"/>
      <c r="Y258" s="97"/>
    </row>
    <row r="259" hidden="1">
      <c r="A259" s="178" t="s">
        <v>3176</v>
      </c>
      <c r="B259" s="179"/>
      <c r="C259" s="179"/>
      <c r="D259" s="179"/>
      <c r="E259" s="180"/>
      <c r="F259" s="12"/>
      <c r="G259" s="12"/>
      <c r="H259" s="72"/>
      <c r="I259" s="12"/>
      <c r="J259" s="12"/>
      <c r="K259" s="97"/>
      <c r="L259" s="97"/>
      <c r="M259" s="97"/>
      <c r="N259" s="97"/>
      <c r="O259" s="97"/>
      <c r="P259" s="97"/>
      <c r="Q259" s="97"/>
      <c r="R259" s="97"/>
      <c r="S259" s="97"/>
      <c r="T259" s="97"/>
      <c r="U259" s="97"/>
      <c r="V259" s="97"/>
      <c r="W259" s="97"/>
      <c r="X259" s="97"/>
      <c r="Y259" s="97"/>
    </row>
    <row r="260" hidden="1">
      <c r="A260" s="181" t="s">
        <v>3177</v>
      </c>
      <c r="B260" s="179"/>
      <c r="C260" s="179"/>
      <c r="D260" s="179"/>
      <c r="E260" s="180"/>
      <c r="F260" s="115" t="b">
        <v>1</v>
      </c>
      <c r="G260" s="115" t="b">
        <v>0</v>
      </c>
      <c r="H260" s="155"/>
      <c r="I260" s="116"/>
      <c r="J260" s="116"/>
    </row>
    <row r="261" hidden="1">
      <c r="A261" s="192" t="s">
        <v>3178</v>
      </c>
      <c r="B261" s="51" t="s">
        <v>3179</v>
      </c>
      <c r="C261" s="51" t="s">
        <v>3180</v>
      </c>
      <c r="D261" s="51" t="s">
        <v>64</v>
      </c>
      <c r="E261" s="51" t="s">
        <v>3181</v>
      </c>
      <c r="F261" s="53" t="b">
        <f>IF(F260=TRUE,TRUE,FALSE)</f>
        <v>1</v>
      </c>
      <c r="G261" s="53" t="s">
        <v>1519</v>
      </c>
      <c r="H261" s="182" t="s">
        <v>1248</v>
      </c>
      <c r="I261" s="51" t="str">
        <f>IF(G261=TRUE,I260,"")</f>
        <v/>
      </c>
      <c r="J261" s="207" t="s">
        <v>3182</v>
      </c>
      <c r="K261" s="97"/>
      <c r="L261" s="97"/>
      <c r="M261" s="97"/>
      <c r="N261" s="97"/>
      <c r="O261" s="97"/>
      <c r="P261" s="97"/>
      <c r="Q261" s="97"/>
      <c r="R261" s="97"/>
      <c r="S261" s="97"/>
      <c r="T261" s="97"/>
      <c r="U261" s="97"/>
      <c r="V261" s="97"/>
      <c r="W261" s="97"/>
      <c r="X261" s="97"/>
      <c r="Y261" s="97"/>
    </row>
    <row r="262" hidden="1">
      <c r="A262" s="181" t="s">
        <v>3183</v>
      </c>
      <c r="B262" s="179"/>
      <c r="C262" s="179"/>
      <c r="D262" s="179"/>
      <c r="E262" s="180"/>
      <c r="F262" s="115" t="b">
        <v>1</v>
      </c>
      <c r="G262" s="115" t="b">
        <v>0</v>
      </c>
      <c r="H262" s="155"/>
      <c r="I262" s="116"/>
      <c r="J262" s="116"/>
    </row>
    <row r="263" hidden="1">
      <c r="A263" s="187" t="s">
        <v>3184</v>
      </c>
      <c r="B263" s="30" t="s">
        <v>3185</v>
      </c>
      <c r="C263" s="30" t="s">
        <v>3186</v>
      </c>
      <c r="D263" s="30" t="s">
        <v>64</v>
      </c>
      <c r="E263" s="134"/>
      <c r="F263" s="118" t="b">
        <f t="shared" ref="F263:G263" si="106">IF(F262=TRUE,TRUE,FALSE)</f>
        <v>1</v>
      </c>
      <c r="G263" s="118" t="b">
        <f t="shared" si="106"/>
        <v>0</v>
      </c>
      <c r="H263" s="185"/>
      <c r="I263" s="186" t="str">
        <f>IF(G263=TRUE,I262,"")</f>
        <v/>
      </c>
      <c r="J263" s="186"/>
    </row>
    <row r="264" hidden="1">
      <c r="A264" s="184" t="s">
        <v>3187</v>
      </c>
      <c r="B264" s="25" t="s">
        <v>3188</v>
      </c>
      <c r="C264" s="25" t="s">
        <v>3189</v>
      </c>
      <c r="D264" s="25" t="s">
        <v>64</v>
      </c>
      <c r="E264" s="133"/>
      <c r="F264" s="121" t="b">
        <f t="shared" ref="F264:G264" si="107">IF(F262=TRUE,TRUE,FALSE)</f>
        <v>1</v>
      </c>
      <c r="G264" s="121" t="b">
        <f t="shared" si="107"/>
        <v>0</v>
      </c>
      <c r="H264" s="185"/>
      <c r="I264" s="186" t="str">
        <f>IF(G264=TRUE,I262,"")</f>
        <v/>
      </c>
      <c r="J264" s="186"/>
    </row>
    <row r="265" hidden="1">
      <c r="A265" s="181" t="s">
        <v>3190</v>
      </c>
      <c r="B265" s="179"/>
      <c r="C265" s="179"/>
      <c r="D265" s="179"/>
      <c r="E265" s="180"/>
      <c r="F265" s="115" t="b">
        <v>1</v>
      </c>
      <c r="G265" s="115" t="b">
        <v>0</v>
      </c>
      <c r="H265" s="155"/>
      <c r="I265" s="116"/>
      <c r="J265" s="116"/>
    </row>
    <row r="266" hidden="1">
      <c r="A266" s="187" t="s">
        <v>3191</v>
      </c>
      <c r="B266" s="30" t="s">
        <v>3192</v>
      </c>
      <c r="C266" s="30" t="s">
        <v>3193</v>
      </c>
      <c r="D266" s="30" t="s">
        <v>15</v>
      </c>
      <c r="E266" s="30" t="s">
        <v>3140</v>
      </c>
      <c r="F266" s="118" t="b">
        <f t="shared" ref="F266:G266" si="108">IF(F265=TRUE,TRUE,FALSE)</f>
        <v>1</v>
      </c>
      <c r="G266" s="118" t="b">
        <f t="shared" si="108"/>
        <v>0</v>
      </c>
      <c r="H266" s="185"/>
      <c r="I266" s="186" t="str">
        <f>IF(G266=TRUE,I265,"")</f>
        <v/>
      </c>
      <c r="J266" s="186"/>
    </row>
    <row r="267" hidden="1">
      <c r="A267" s="181" t="s">
        <v>3194</v>
      </c>
      <c r="B267" s="179"/>
      <c r="C267" s="179"/>
      <c r="D267" s="179"/>
      <c r="E267" s="180"/>
      <c r="F267" s="115" t="b">
        <v>1</v>
      </c>
      <c r="G267" s="115" t="b">
        <v>0</v>
      </c>
      <c r="H267" s="155"/>
      <c r="I267" s="116"/>
      <c r="J267" s="116"/>
    </row>
    <row r="268" hidden="1">
      <c r="A268" s="184" t="s">
        <v>3195</v>
      </c>
      <c r="B268" s="25" t="s">
        <v>3196</v>
      </c>
      <c r="C268" s="25" t="s">
        <v>3197</v>
      </c>
      <c r="D268" s="25" t="s">
        <v>64</v>
      </c>
      <c r="E268" s="133"/>
      <c r="F268" s="121" t="b">
        <f t="shared" ref="F268:G268" si="109">IF(F267=TRUE,TRUE,FALSE)</f>
        <v>1</v>
      </c>
      <c r="G268" s="121" t="b">
        <f t="shared" si="109"/>
        <v>0</v>
      </c>
      <c r="H268" s="185"/>
      <c r="I268" s="186" t="str">
        <f>IF(G268=TRUE,I267,"")</f>
        <v/>
      </c>
      <c r="J268" s="186"/>
    </row>
    <row r="269" hidden="1">
      <c r="A269" s="181" t="s">
        <v>3198</v>
      </c>
      <c r="B269" s="179"/>
      <c r="C269" s="179"/>
      <c r="D269" s="179"/>
      <c r="E269" s="180"/>
      <c r="F269" s="115" t="b">
        <v>1</v>
      </c>
      <c r="G269" s="115" t="b">
        <v>0</v>
      </c>
      <c r="H269" s="155"/>
      <c r="I269" s="116"/>
      <c r="J269" s="116"/>
    </row>
    <row r="270" hidden="1">
      <c r="A270" s="187" t="s">
        <v>3199</v>
      </c>
      <c r="B270" s="30" t="s">
        <v>3200</v>
      </c>
      <c r="C270" s="30" t="s">
        <v>3201</v>
      </c>
      <c r="D270" s="30" t="s">
        <v>64</v>
      </c>
      <c r="E270" s="134"/>
      <c r="F270" s="118" t="b">
        <f t="shared" ref="F270:G270" si="110">IF(F269=TRUE,TRUE,FALSE)</f>
        <v>1</v>
      </c>
      <c r="G270" s="118" t="b">
        <f t="shared" si="110"/>
        <v>0</v>
      </c>
      <c r="H270" s="185"/>
      <c r="I270" s="186" t="str">
        <f>IF(G270=TRUE,I269,"")</f>
        <v/>
      </c>
      <c r="J270" s="186"/>
    </row>
    <row r="271" hidden="1">
      <c r="A271" s="181" t="s">
        <v>3202</v>
      </c>
      <c r="B271" s="179"/>
      <c r="C271" s="179"/>
      <c r="D271" s="179"/>
      <c r="E271" s="180"/>
      <c r="F271" s="115" t="b">
        <v>1</v>
      </c>
      <c r="G271" s="115" t="b">
        <v>0</v>
      </c>
      <c r="H271" s="155"/>
      <c r="I271" s="116"/>
      <c r="J271" s="116"/>
    </row>
    <row r="272" hidden="1">
      <c r="A272" s="184" t="s">
        <v>3203</v>
      </c>
      <c r="B272" s="25" t="s">
        <v>3204</v>
      </c>
      <c r="C272" s="25" t="s">
        <v>3205</v>
      </c>
      <c r="D272" s="25" t="s">
        <v>64</v>
      </c>
      <c r="E272" s="133"/>
      <c r="F272" s="121" t="b">
        <f t="shared" ref="F272:G272" si="111">IF(F271=TRUE,TRUE,FALSE)</f>
        <v>1</v>
      </c>
      <c r="G272" s="121" t="b">
        <f t="shared" si="111"/>
        <v>0</v>
      </c>
      <c r="H272" s="185"/>
      <c r="I272" s="186" t="str">
        <f>IF(G272=TRUE,I271,"")</f>
        <v/>
      </c>
      <c r="J272" s="186"/>
    </row>
    <row r="273" hidden="1">
      <c r="A273" s="181" t="s">
        <v>3206</v>
      </c>
      <c r="B273" s="179"/>
      <c r="C273" s="179"/>
      <c r="D273" s="179"/>
      <c r="E273" s="180"/>
      <c r="F273" s="115" t="b">
        <v>1</v>
      </c>
      <c r="G273" s="115" t="b">
        <v>0</v>
      </c>
      <c r="H273" s="155"/>
      <c r="I273" s="116"/>
      <c r="J273" s="116"/>
    </row>
    <row r="274" hidden="1">
      <c r="A274" s="187" t="s">
        <v>3207</v>
      </c>
      <c r="B274" s="30" t="s">
        <v>3208</v>
      </c>
      <c r="C274" s="30" t="s">
        <v>3209</v>
      </c>
      <c r="D274" s="30" t="s">
        <v>64</v>
      </c>
      <c r="E274" s="134"/>
      <c r="F274" s="118" t="b">
        <f t="shared" ref="F274:G274" si="112">IF(F273=TRUE,TRUE,FALSE)</f>
        <v>1</v>
      </c>
      <c r="G274" s="118" t="b">
        <f t="shared" si="112"/>
        <v>0</v>
      </c>
      <c r="H274" s="185"/>
      <c r="I274" s="186" t="str">
        <f>IF(G274=TRUE,I273,"")</f>
        <v/>
      </c>
      <c r="J274" s="186"/>
    </row>
    <row r="275" hidden="1">
      <c r="A275" s="184" t="s">
        <v>3210</v>
      </c>
      <c r="B275" s="25" t="s">
        <v>3211</v>
      </c>
      <c r="C275" s="25" t="s">
        <v>3212</v>
      </c>
      <c r="D275" s="25" t="s">
        <v>64</v>
      </c>
      <c r="E275" s="133"/>
      <c r="F275" s="121" t="b">
        <f t="shared" ref="F275:G275" si="113">IF(F273=TRUE,TRUE,FALSE)</f>
        <v>1</v>
      </c>
      <c r="G275" s="121" t="b">
        <f t="shared" si="113"/>
        <v>0</v>
      </c>
      <c r="H275" s="185"/>
      <c r="I275" s="186" t="str">
        <f>IF(G275=TRUE,I273,"")</f>
        <v/>
      </c>
      <c r="J275" s="186"/>
    </row>
    <row r="276" hidden="1">
      <c r="A276" s="181" t="s">
        <v>3213</v>
      </c>
      <c r="B276" s="179"/>
      <c r="C276" s="179"/>
      <c r="D276" s="179"/>
      <c r="E276" s="180"/>
      <c r="F276" s="115" t="b">
        <v>1</v>
      </c>
      <c r="G276" s="115" t="b">
        <v>0</v>
      </c>
      <c r="H276" s="155"/>
      <c r="I276" s="116"/>
      <c r="J276" s="116"/>
    </row>
    <row r="277" hidden="1">
      <c r="A277" s="187" t="s">
        <v>3214</v>
      </c>
      <c r="B277" s="30" t="s">
        <v>3215</v>
      </c>
      <c r="C277" s="30" t="s">
        <v>3216</v>
      </c>
      <c r="D277" s="30" t="s">
        <v>64</v>
      </c>
      <c r="E277" s="134"/>
      <c r="F277" s="118" t="b">
        <f t="shared" ref="F277:G277" si="114">IF(F276=TRUE,TRUE,FALSE)</f>
        <v>1</v>
      </c>
      <c r="G277" s="118" t="b">
        <f t="shared" si="114"/>
        <v>0</v>
      </c>
      <c r="H277" s="185"/>
      <c r="I277" s="186" t="str">
        <f>IF(G277=TRUE,I276,"")</f>
        <v/>
      </c>
      <c r="J277" s="186"/>
    </row>
    <row r="278" hidden="1">
      <c r="A278" s="181" t="s">
        <v>3217</v>
      </c>
      <c r="B278" s="179"/>
      <c r="C278" s="179"/>
      <c r="D278" s="179"/>
      <c r="E278" s="180"/>
      <c r="F278" s="115" t="b">
        <v>1</v>
      </c>
      <c r="G278" s="115" t="b">
        <v>0</v>
      </c>
      <c r="H278" s="155"/>
      <c r="I278" s="116"/>
      <c r="J278" s="116"/>
    </row>
    <row r="279" hidden="1">
      <c r="A279" s="184" t="s">
        <v>3218</v>
      </c>
      <c r="B279" s="25" t="s">
        <v>3219</v>
      </c>
      <c r="C279" s="25" t="s">
        <v>3220</v>
      </c>
      <c r="D279" s="25" t="s">
        <v>64</v>
      </c>
      <c r="E279" s="133"/>
      <c r="F279" s="121" t="b">
        <f t="shared" ref="F279:G279" si="115">IF(F278=TRUE,TRUE,FALSE)</f>
        <v>1</v>
      </c>
      <c r="G279" s="121" t="b">
        <f t="shared" si="115"/>
        <v>0</v>
      </c>
      <c r="H279" s="185"/>
      <c r="I279" s="186" t="str">
        <f>IF(G279=TRUE,I278,"")</f>
        <v/>
      </c>
      <c r="J279" s="186"/>
    </row>
    <row r="280" hidden="1">
      <c r="A280" s="181" t="s">
        <v>3221</v>
      </c>
      <c r="B280" s="179"/>
      <c r="C280" s="179"/>
      <c r="D280" s="179"/>
      <c r="E280" s="180"/>
      <c r="F280" s="115" t="b">
        <v>1</v>
      </c>
      <c r="G280" s="115" t="b">
        <v>0</v>
      </c>
      <c r="H280" s="155"/>
      <c r="I280" s="116"/>
      <c r="J280" s="116"/>
    </row>
    <row r="281" hidden="1">
      <c r="A281" s="187" t="s">
        <v>3222</v>
      </c>
      <c r="B281" s="30" t="s">
        <v>3223</v>
      </c>
      <c r="C281" s="30" t="s">
        <v>3224</v>
      </c>
      <c r="D281" s="30" t="s">
        <v>64</v>
      </c>
      <c r="E281" s="134"/>
      <c r="F281" s="118" t="b">
        <f t="shared" ref="F281:G281" si="116">IF(F280=TRUE,TRUE,FALSE)</f>
        <v>1</v>
      </c>
      <c r="G281" s="118" t="b">
        <f t="shared" si="116"/>
        <v>0</v>
      </c>
      <c r="H281" s="185"/>
      <c r="I281" s="186" t="str">
        <f>IF(G281=TRUE,I280,"")</f>
        <v/>
      </c>
      <c r="J281" s="186"/>
    </row>
    <row r="282" hidden="1">
      <c r="A282" s="181" t="s">
        <v>3225</v>
      </c>
      <c r="B282" s="179"/>
      <c r="C282" s="179"/>
      <c r="D282" s="179"/>
      <c r="E282" s="180"/>
      <c r="F282" s="115" t="b">
        <v>1</v>
      </c>
      <c r="G282" s="115" t="b">
        <v>0</v>
      </c>
      <c r="H282" s="155"/>
      <c r="I282" s="116"/>
      <c r="J282" s="116"/>
    </row>
    <row r="283" hidden="1">
      <c r="A283" s="184" t="s">
        <v>3226</v>
      </c>
      <c r="B283" s="25" t="s">
        <v>772</v>
      </c>
      <c r="C283" s="25" t="s">
        <v>3227</v>
      </c>
      <c r="D283" s="25" t="s">
        <v>64</v>
      </c>
      <c r="E283" s="133"/>
      <c r="F283" s="121" t="b">
        <f t="shared" ref="F283:G283" si="117">IF(F282=TRUE,TRUE,FALSE)</f>
        <v>1</v>
      </c>
      <c r="G283" s="121" t="b">
        <f t="shared" si="117"/>
        <v>0</v>
      </c>
      <c r="H283" s="185"/>
      <c r="I283" s="186" t="str">
        <f>IF(G283=TRUE,I282,"")</f>
        <v/>
      </c>
      <c r="J283" s="186"/>
    </row>
    <row r="284" hidden="1">
      <c r="A284" s="187" t="s">
        <v>3228</v>
      </c>
      <c r="B284" s="30" t="s">
        <v>772</v>
      </c>
      <c r="C284" s="30" t="s">
        <v>3229</v>
      </c>
      <c r="D284" s="30" t="s">
        <v>64</v>
      </c>
      <c r="E284" s="134"/>
      <c r="F284" s="118" t="b">
        <f t="shared" ref="F284:G284" si="118">IF(F282=TRUE,TRUE,FALSE)</f>
        <v>1</v>
      </c>
      <c r="G284" s="118" t="b">
        <f t="shared" si="118"/>
        <v>0</v>
      </c>
      <c r="H284" s="185"/>
      <c r="I284" s="186" t="str">
        <f>IF(G284=TRUE,I282,"")</f>
        <v/>
      </c>
      <c r="J284" s="186"/>
    </row>
    <row r="285" hidden="1">
      <c r="A285" s="184" t="s">
        <v>3230</v>
      </c>
      <c r="B285" s="25" t="s">
        <v>772</v>
      </c>
      <c r="C285" s="25" t="s">
        <v>3231</v>
      </c>
      <c r="D285" s="25" t="s">
        <v>64</v>
      </c>
      <c r="E285" s="133"/>
      <c r="F285" s="121" t="b">
        <f t="shared" ref="F285:G285" si="119">IF(F282=TRUE,TRUE,FALSE)</f>
        <v>1</v>
      </c>
      <c r="G285" s="121" t="b">
        <f t="shared" si="119"/>
        <v>0</v>
      </c>
      <c r="H285" s="185"/>
      <c r="I285" s="186" t="str">
        <f>IF(G285=TRUE,I282,"")</f>
        <v/>
      </c>
      <c r="J285" s="186"/>
    </row>
    <row r="286" hidden="1">
      <c r="A286" s="178" t="s">
        <v>3232</v>
      </c>
      <c r="B286" s="179"/>
      <c r="C286" s="179"/>
      <c r="D286" s="179"/>
      <c r="E286" s="180"/>
      <c r="F286" s="12"/>
      <c r="G286" s="12"/>
      <c r="H286" s="72"/>
      <c r="I286" s="12"/>
      <c r="J286" s="12"/>
      <c r="K286" s="97"/>
      <c r="L286" s="97"/>
      <c r="M286" s="97"/>
      <c r="N286" s="97"/>
      <c r="O286" s="97"/>
      <c r="P286" s="97"/>
      <c r="Q286" s="97"/>
      <c r="R286" s="97"/>
      <c r="S286" s="97"/>
      <c r="T286" s="97"/>
      <c r="U286" s="97"/>
      <c r="V286" s="97"/>
      <c r="W286" s="97"/>
      <c r="X286" s="97"/>
      <c r="Y286" s="97"/>
    </row>
    <row r="287" hidden="1">
      <c r="A287" s="181" t="s">
        <v>3233</v>
      </c>
      <c r="B287" s="179"/>
      <c r="C287" s="179"/>
      <c r="D287" s="179"/>
      <c r="E287" s="180"/>
      <c r="F287" s="115" t="b">
        <v>1</v>
      </c>
      <c r="G287" s="115" t="b">
        <v>0</v>
      </c>
      <c r="H287" s="155"/>
      <c r="I287" s="116"/>
      <c r="J287" s="116"/>
    </row>
    <row r="288" hidden="1">
      <c r="A288" s="187" t="s">
        <v>3234</v>
      </c>
      <c r="B288" s="30" t="s">
        <v>3235</v>
      </c>
      <c r="C288" s="30" t="s">
        <v>3236</v>
      </c>
      <c r="D288" s="30" t="s">
        <v>64</v>
      </c>
      <c r="E288" s="30" t="s">
        <v>3237</v>
      </c>
      <c r="F288" s="118" t="b">
        <f t="shared" ref="F288:G288" si="120">IF(F287=TRUE,TRUE,FALSE)</f>
        <v>1</v>
      </c>
      <c r="G288" s="118" t="b">
        <f t="shared" si="120"/>
        <v>0</v>
      </c>
      <c r="H288" s="185"/>
      <c r="I288" s="186" t="str">
        <f>IF(G288=TRUE,I287,"")</f>
        <v/>
      </c>
      <c r="J288" s="186"/>
    </row>
    <row r="289" hidden="1">
      <c r="A289" s="184" t="s">
        <v>3238</v>
      </c>
      <c r="B289" s="25" t="s">
        <v>3239</v>
      </c>
      <c r="C289" s="25" t="s">
        <v>3240</v>
      </c>
      <c r="D289" s="25" t="s">
        <v>64</v>
      </c>
      <c r="E289" s="25" t="s">
        <v>3237</v>
      </c>
      <c r="F289" s="121" t="b">
        <f t="shared" ref="F289:G289" si="121">IF(F287=TRUE,TRUE,FALSE)</f>
        <v>1</v>
      </c>
      <c r="G289" s="121" t="b">
        <f t="shared" si="121"/>
        <v>0</v>
      </c>
      <c r="H289" s="185"/>
      <c r="I289" s="186" t="str">
        <f>IF(G289=TRUE,I287,"")</f>
        <v/>
      </c>
      <c r="J289" s="186"/>
    </row>
    <row r="290" hidden="1">
      <c r="A290" s="187" t="s">
        <v>3241</v>
      </c>
      <c r="B290" s="30" t="s">
        <v>3239</v>
      </c>
      <c r="C290" s="134"/>
      <c r="D290" s="30" t="s">
        <v>64</v>
      </c>
      <c r="E290" s="30" t="s">
        <v>3237</v>
      </c>
      <c r="F290" s="118" t="b">
        <f t="shared" ref="F290:G290" si="122">IF(F287=TRUE,TRUE,FALSE)</f>
        <v>1</v>
      </c>
      <c r="G290" s="118" t="b">
        <f t="shared" si="122"/>
        <v>0</v>
      </c>
      <c r="H290" s="185"/>
      <c r="I290" s="186" t="str">
        <f>IF(G290=TRUE,I287,"")</f>
        <v/>
      </c>
      <c r="J290" s="186"/>
    </row>
    <row r="291" hidden="1">
      <c r="A291" s="184" t="s">
        <v>3242</v>
      </c>
      <c r="B291" s="25" t="s">
        <v>3239</v>
      </c>
      <c r="C291" s="133"/>
      <c r="D291" s="25" t="s">
        <v>64</v>
      </c>
      <c r="E291" s="25" t="s">
        <v>3237</v>
      </c>
      <c r="F291" s="121" t="b">
        <f t="shared" ref="F291:G291" si="123">IF(F287=TRUE,TRUE,FALSE)</f>
        <v>1</v>
      </c>
      <c r="G291" s="121" t="b">
        <f t="shared" si="123"/>
        <v>0</v>
      </c>
      <c r="H291" s="185"/>
      <c r="I291" s="186" t="str">
        <f>IF(G291=TRUE,I287,"")</f>
        <v/>
      </c>
      <c r="J291" s="186"/>
    </row>
    <row r="292" hidden="1">
      <c r="A292" s="187" t="s">
        <v>3243</v>
      </c>
      <c r="B292" s="30" t="s">
        <v>3239</v>
      </c>
      <c r="C292" s="134"/>
      <c r="D292" s="30" t="s">
        <v>64</v>
      </c>
      <c r="E292" s="30" t="s">
        <v>3237</v>
      </c>
      <c r="F292" s="118" t="b">
        <f t="shared" ref="F292:G292" si="124">IF(F287=TRUE,TRUE,FALSE)</f>
        <v>1</v>
      </c>
      <c r="G292" s="118" t="b">
        <f t="shared" si="124"/>
        <v>0</v>
      </c>
      <c r="H292" s="185"/>
      <c r="I292" s="186" t="str">
        <f>IF(G292=TRUE,I287,"")</f>
        <v/>
      </c>
      <c r="J292" s="186"/>
    </row>
    <row r="293" hidden="1">
      <c r="A293" s="184" t="s">
        <v>3244</v>
      </c>
      <c r="B293" s="25" t="s">
        <v>3245</v>
      </c>
      <c r="C293" s="25" t="s">
        <v>3246</v>
      </c>
      <c r="D293" s="25" t="s">
        <v>64</v>
      </c>
      <c r="E293" s="25" t="s">
        <v>3237</v>
      </c>
      <c r="F293" s="121" t="b">
        <f t="shared" ref="F293:G293" si="125">IF(F287=TRUE,TRUE,FALSE)</f>
        <v>1</v>
      </c>
      <c r="G293" s="121" t="b">
        <f t="shared" si="125"/>
        <v>0</v>
      </c>
      <c r="H293" s="185"/>
      <c r="I293" s="186" t="str">
        <f>IF(G293=TRUE,I287,"")</f>
        <v/>
      </c>
      <c r="J293" s="186"/>
    </row>
    <row r="294" hidden="1">
      <c r="A294" s="187" t="s">
        <v>3247</v>
      </c>
      <c r="B294" s="30" t="s">
        <v>3248</v>
      </c>
      <c r="C294" s="30" t="s">
        <v>3249</v>
      </c>
      <c r="D294" s="30" t="s">
        <v>64</v>
      </c>
      <c r="E294" s="30" t="s">
        <v>3237</v>
      </c>
      <c r="F294" s="118" t="b">
        <f t="shared" ref="F294:G294" si="126">IF(F287=TRUE,TRUE,FALSE)</f>
        <v>1</v>
      </c>
      <c r="G294" s="118" t="b">
        <f t="shared" si="126"/>
        <v>0</v>
      </c>
      <c r="H294" s="185"/>
      <c r="I294" s="186" t="str">
        <f>IF(G294=TRUE,I287,"")</f>
        <v/>
      </c>
      <c r="J294" s="186"/>
    </row>
    <row r="295" hidden="1">
      <c r="A295" s="184" t="s">
        <v>3250</v>
      </c>
      <c r="B295" s="25" t="s">
        <v>3248</v>
      </c>
      <c r="C295" s="133"/>
      <c r="D295" s="25" t="s">
        <v>64</v>
      </c>
      <c r="E295" s="25" t="s">
        <v>3237</v>
      </c>
      <c r="F295" s="121" t="b">
        <f t="shared" ref="F295:G295" si="127">IF(F287=TRUE,TRUE,FALSE)</f>
        <v>1</v>
      </c>
      <c r="G295" s="121" t="b">
        <f t="shared" si="127"/>
        <v>0</v>
      </c>
      <c r="H295" s="185"/>
      <c r="I295" s="186" t="str">
        <f>IF(G295=TRUE,I287,"")</f>
        <v/>
      </c>
      <c r="J295" s="186"/>
    </row>
    <row r="296" hidden="1">
      <c r="A296" s="187" t="s">
        <v>3251</v>
      </c>
      <c r="B296" s="30" t="s">
        <v>3248</v>
      </c>
      <c r="C296" s="134"/>
      <c r="D296" s="30" t="s">
        <v>64</v>
      </c>
      <c r="E296" s="30" t="s">
        <v>3237</v>
      </c>
      <c r="F296" s="118" t="b">
        <f t="shared" ref="F296:G296" si="128">IF(F287=TRUE,TRUE,FALSE)</f>
        <v>1</v>
      </c>
      <c r="G296" s="118" t="b">
        <f t="shared" si="128"/>
        <v>0</v>
      </c>
      <c r="H296" s="185"/>
      <c r="I296" s="186" t="str">
        <f>IF(G296=TRUE,I287,"")</f>
        <v/>
      </c>
      <c r="J296" s="186"/>
    </row>
    <row r="297" hidden="1">
      <c r="A297" s="184" t="s">
        <v>3252</v>
      </c>
      <c r="B297" s="25" t="s">
        <v>3248</v>
      </c>
      <c r="C297" s="133"/>
      <c r="D297" s="25" t="s">
        <v>64</v>
      </c>
      <c r="E297" s="25" t="s">
        <v>3237</v>
      </c>
      <c r="F297" s="121" t="b">
        <f t="shared" ref="F297:G297" si="129">IF(F287=TRUE,TRUE,FALSE)</f>
        <v>1</v>
      </c>
      <c r="G297" s="121" t="b">
        <f t="shared" si="129"/>
        <v>0</v>
      </c>
      <c r="H297" s="185"/>
      <c r="I297" s="186" t="str">
        <f>IF(G297=TRUE,I287,"")</f>
        <v/>
      </c>
      <c r="J297" s="186"/>
    </row>
    <row r="298" hidden="1">
      <c r="A298" s="187" t="s">
        <v>3253</v>
      </c>
      <c r="B298" s="30" t="s">
        <v>3248</v>
      </c>
      <c r="C298" s="134"/>
      <c r="D298" s="30" t="s">
        <v>64</v>
      </c>
      <c r="E298" s="30" t="s">
        <v>3237</v>
      </c>
      <c r="F298" s="118" t="b">
        <f t="shared" ref="F298:G298" si="130">IF(F287=TRUE,TRUE,FALSE)</f>
        <v>1</v>
      </c>
      <c r="G298" s="118" t="b">
        <f t="shared" si="130"/>
        <v>0</v>
      </c>
      <c r="H298" s="185"/>
      <c r="I298" s="186" t="str">
        <f>IF(G298=TRUE,I287,"")</f>
        <v/>
      </c>
      <c r="J298" s="186"/>
    </row>
    <row r="299" hidden="1">
      <c r="A299" s="184" t="s">
        <v>3254</v>
      </c>
      <c r="B299" s="25" t="s">
        <v>3248</v>
      </c>
      <c r="C299" s="133"/>
      <c r="D299" s="25" t="s">
        <v>64</v>
      </c>
      <c r="E299" s="25" t="s">
        <v>3237</v>
      </c>
      <c r="F299" s="121" t="b">
        <f t="shared" ref="F299:G299" si="131">IF(F287=TRUE,TRUE,FALSE)</f>
        <v>1</v>
      </c>
      <c r="G299" s="121" t="b">
        <f t="shared" si="131"/>
        <v>0</v>
      </c>
      <c r="H299" s="185"/>
      <c r="I299" s="186" t="str">
        <f>IF(G299=TRUE,I287,"")</f>
        <v/>
      </c>
      <c r="J299" s="186"/>
    </row>
    <row r="300" hidden="1">
      <c r="A300" s="187" t="s">
        <v>3255</v>
      </c>
      <c r="B300" s="30" t="s">
        <v>3248</v>
      </c>
      <c r="C300" s="134"/>
      <c r="D300" s="30" t="s">
        <v>64</v>
      </c>
      <c r="E300" s="30" t="s">
        <v>3237</v>
      </c>
      <c r="F300" s="118" t="b">
        <f t="shared" ref="F300:G300" si="132">IF(F287=TRUE,TRUE,FALSE)</f>
        <v>1</v>
      </c>
      <c r="G300" s="118" t="b">
        <f t="shared" si="132"/>
        <v>0</v>
      </c>
      <c r="H300" s="185"/>
      <c r="I300" s="186" t="str">
        <f>IF(G300=TRUE,I287,"")</f>
        <v/>
      </c>
      <c r="J300" s="186"/>
    </row>
    <row r="301" hidden="1">
      <c r="A301" s="184" t="s">
        <v>3256</v>
      </c>
      <c r="B301" s="25" t="s">
        <v>3248</v>
      </c>
      <c r="C301" s="133"/>
      <c r="D301" s="25" t="s">
        <v>64</v>
      </c>
      <c r="E301" s="25" t="s">
        <v>3237</v>
      </c>
      <c r="F301" s="121" t="b">
        <f t="shared" ref="F301:G301" si="133">IF(F287=TRUE,TRUE,FALSE)</f>
        <v>1</v>
      </c>
      <c r="G301" s="121" t="b">
        <f t="shared" si="133"/>
        <v>0</v>
      </c>
      <c r="H301" s="185"/>
      <c r="I301" s="186" t="str">
        <f>IF(G301=TRUE,I287,"")</f>
        <v/>
      </c>
      <c r="J301" s="186"/>
    </row>
    <row r="302" hidden="1">
      <c r="A302" s="187" t="s">
        <v>3257</v>
      </c>
      <c r="B302" s="30" t="s">
        <v>3258</v>
      </c>
      <c r="C302" s="30" t="s">
        <v>3259</v>
      </c>
      <c r="D302" s="30" t="s">
        <v>64</v>
      </c>
      <c r="E302" s="30" t="s">
        <v>3237</v>
      </c>
      <c r="F302" s="118" t="b">
        <f t="shared" ref="F302:G302" si="134">IF(F287=TRUE,TRUE,FALSE)</f>
        <v>1</v>
      </c>
      <c r="G302" s="118" t="b">
        <f t="shared" si="134"/>
        <v>0</v>
      </c>
      <c r="H302" s="185"/>
      <c r="I302" s="186" t="str">
        <f>IF(G302=TRUE,I287,"")</f>
        <v/>
      </c>
      <c r="J302" s="186"/>
    </row>
    <row r="303" hidden="1">
      <c r="A303" s="184" t="s">
        <v>3260</v>
      </c>
      <c r="B303" s="25" t="s">
        <v>3261</v>
      </c>
      <c r="C303" s="25" t="s">
        <v>3262</v>
      </c>
      <c r="D303" s="25" t="s">
        <v>64</v>
      </c>
      <c r="E303" s="25" t="s">
        <v>3237</v>
      </c>
      <c r="F303" s="121" t="b">
        <f t="shared" ref="F303:G303" si="135">IF(F287=TRUE,TRUE,FALSE)</f>
        <v>1</v>
      </c>
      <c r="G303" s="121" t="b">
        <f t="shared" si="135"/>
        <v>0</v>
      </c>
      <c r="H303" s="185"/>
      <c r="I303" s="186" t="str">
        <f>IF(G303=TRUE,I287,"")</f>
        <v/>
      </c>
      <c r="J303" s="186"/>
    </row>
    <row r="304" hidden="1">
      <c r="A304" s="187" t="s">
        <v>3263</v>
      </c>
      <c r="B304" s="30" t="s">
        <v>3261</v>
      </c>
      <c r="C304" s="134"/>
      <c r="D304" s="30" t="s">
        <v>64</v>
      </c>
      <c r="E304" s="30" t="s">
        <v>3237</v>
      </c>
      <c r="F304" s="118" t="b">
        <f t="shared" ref="F304:G304" si="136">IF(F287=TRUE,TRUE,FALSE)</f>
        <v>1</v>
      </c>
      <c r="G304" s="118" t="b">
        <f t="shared" si="136"/>
        <v>0</v>
      </c>
      <c r="H304" s="185"/>
      <c r="I304" s="186" t="str">
        <f>IF(G304=TRUE,I287,"")</f>
        <v/>
      </c>
      <c r="J304" s="186"/>
    </row>
    <row r="305" hidden="1">
      <c r="A305" s="181" t="s">
        <v>3264</v>
      </c>
      <c r="B305" s="179"/>
      <c r="C305" s="179"/>
      <c r="D305" s="179"/>
      <c r="E305" s="180"/>
      <c r="F305" s="115" t="b">
        <v>1</v>
      </c>
      <c r="G305" s="115" t="b">
        <v>0</v>
      </c>
      <c r="H305" s="155"/>
      <c r="I305" s="116"/>
      <c r="J305" s="116"/>
    </row>
    <row r="306" hidden="1">
      <c r="A306" s="184" t="s">
        <v>3265</v>
      </c>
      <c r="B306" s="25" t="s">
        <v>3266</v>
      </c>
      <c r="C306" s="25" t="s">
        <v>3267</v>
      </c>
      <c r="D306" s="25" t="s">
        <v>64</v>
      </c>
      <c r="E306" s="25" t="s">
        <v>3237</v>
      </c>
      <c r="F306" s="121" t="b">
        <f t="shared" ref="F306:G306" si="137">IF(F305=TRUE,TRUE,FALSE)</f>
        <v>1</v>
      </c>
      <c r="G306" s="121" t="b">
        <f t="shared" si="137"/>
        <v>0</v>
      </c>
      <c r="H306" s="185"/>
      <c r="I306" s="186" t="str">
        <f>IF(G306=TRUE,I305,"")</f>
        <v/>
      </c>
      <c r="J306" s="186"/>
    </row>
    <row r="307" hidden="1">
      <c r="A307" s="187" t="s">
        <v>3268</v>
      </c>
      <c r="B307" s="30" t="s">
        <v>3266</v>
      </c>
      <c r="C307" s="134"/>
      <c r="D307" s="30" t="s">
        <v>64</v>
      </c>
      <c r="E307" s="30" t="s">
        <v>3237</v>
      </c>
      <c r="F307" s="118" t="b">
        <f t="shared" ref="F307:G307" si="138">IF(F305=TRUE,TRUE,FALSE)</f>
        <v>1</v>
      </c>
      <c r="G307" s="118" t="b">
        <f t="shared" si="138"/>
        <v>0</v>
      </c>
      <c r="H307" s="185"/>
      <c r="I307" s="186" t="str">
        <f>IF(G307=TRUE,I305,"")</f>
        <v/>
      </c>
      <c r="J307" s="186"/>
    </row>
    <row r="308" hidden="1">
      <c r="A308" s="184" t="s">
        <v>3269</v>
      </c>
      <c r="B308" s="25" t="s">
        <v>3266</v>
      </c>
      <c r="C308" s="133"/>
      <c r="D308" s="25" t="s">
        <v>64</v>
      </c>
      <c r="E308" s="25" t="s">
        <v>3237</v>
      </c>
      <c r="F308" s="121" t="b">
        <f t="shared" ref="F308:G308" si="139">IF(F305=TRUE,TRUE,FALSE)</f>
        <v>1</v>
      </c>
      <c r="G308" s="121" t="b">
        <f t="shared" si="139"/>
        <v>0</v>
      </c>
      <c r="H308" s="185"/>
      <c r="I308" s="186" t="str">
        <f>IF(G308=TRUE,I305,"")</f>
        <v/>
      </c>
      <c r="J308" s="186"/>
    </row>
    <row r="309" hidden="1">
      <c r="A309" s="187" t="s">
        <v>3270</v>
      </c>
      <c r="B309" s="30" t="s">
        <v>3271</v>
      </c>
      <c r="C309" s="30" t="s">
        <v>3272</v>
      </c>
      <c r="D309" s="30" t="s">
        <v>64</v>
      </c>
      <c r="E309" s="30" t="s">
        <v>3237</v>
      </c>
      <c r="F309" s="118" t="b">
        <f t="shared" ref="F309:G309" si="140">IF(F305=TRUE,TRUE,FALSE)</f>
        <v>1</v>
      </c>
      <c r="G309" s="118" t="b">
        <f t="shared" si="140"/>
        <v>0</v>
      </c>
      <c r="H309" s="185"/>
      <c r="I309" s="186" t="str">
        <f>IF(G309=TRUE,I305,"")</f>
        <v/>
      </c>
      <c r="J309" s="186"/>
    </row>
    <row r="310" hidden="1">
      <c r="A310" s="184" t="s">
        <v>3268</v>
      </c>
      <c r="B310" s="25" t="s">
        <v>3271</v>
      </c>
      <c r="C310" s="133"/>
      <c r="D310" s="25" t="s">
        <v>64</v>
      </c>
      <c r="E310" s="25" t="s">
        <v>3237</v>
      </c>
      <c r="F310" s="121" t="b">
        <f t="shared" ref="F310:G310" si="141">IF(F305=TRUE,TRUE,FALSE)</f>
        <v>1</v>
      </c>
      <c r="G310" s="121" t="b">
        <f t="shared" si="141"/>
        <v>0</v>
      </c>
      <c r="H310" s="185"/>
      <c r="I310" s="186" t="str">
        <f>IF(G310=TRUE,I305,"")</f>
        <v/>
      </c>
      <c r="J310" s="186"/>
    </row>
    <row r="311" hidden="1">
      <c r="A311" s="181" t="s">
        <v>3273</v>
      </c>
      <c r="B311" s="179"/>
      <c r="C311" s="179"/>
      <c r="D311" s="179"/>
      <c r="E311" s="180"/>
      <c r="F311" s="115" t="b">
        <v>1</v>
      </c>
      <c r="G311" s="115" t="b">
        <v>0</v>
      </c>
      <c r="H311" s="155"/>
      <c r="I311" s="116"/>
      <c r="J311" s="116"/>
    </row>
    <row r="312" hidden="1">
      <c r="A312" s="187" t="s">
        <v>3274</v>
      </c>
      <c r="B312" s="30" t="s">
        <v>3275</v>
      </c>
      <c r="C312" s="30" t="s">
        <v>3276</v>
      </c>
      <c r="D312" s="30" t="s">
        <v>64</v>
      </c>
      <c r="E312" s="30" t="s">
        <v>3237</v>
      </c>
      <c r="F312" s="118" t="b">
        <f t="shared" ref="F312:G312" si="142">IF(F311=TRUE,TRUE,FALSE)</f>
        <v>1</v>
      </c>
      <c r="G312" s="118" t="b">
        <f t="shared" si="142"/>
        <v>0</v>
      </c>
      <c r="H312" s="185"/>
      <c r="I312" s="186" t="str">
        <f>IF(G312=TRUE,I311,"")</f>
        <v/>
      </c>
      <c r="J312" s="186"/>
    </row>
    <row r="313" hidden="1">
      <c r="A313" s="184" t="s">
        <v>3277</v>
      </c>
      <c r="B313" s="25" t="s">
        <v>3275</v>
      </c>
      <c r="C313" s="133"/>
      <c r="D313" s="25" t="s">
        <v>64</v>
      </c>
      <c r="E313" s="25" t="s">
        <v>3237</v>
      </c>
      <c r="F313" s="121" t="b">
        <f t="shared" ref="F313:G313" si="143">IF(F311=TRUE,TRUE,FALSE)</f>
        <v>1</v>
      </c>
      <c r="G313" s="121" t="b">
        <f t="shared" si="143"/>
        <v>0</v>
      </c>
      <c r="H313" s="185"/>
      <c r="I313" s="186" t="str">
        <f>IF(G313=TRUE,I311,"")</f>
        <v/>
      </c>
      <c r="J313" s="186"/>
    </row>
    <row r="314" hidden="1">
      <c r="A314" s="187" t="s">
        <v>3278</v>
      </c>
      <c r="B314" s="30" t="s">
        <v>3275</v>
      </c>
      <c r="C314" s="134"/>
      <c r="D314" s="30" t="s">
        <v>64</v>
      </c>
      <c r="E314" s="30" t="s">
        <v>3237</v>
      </c>
      <c r="F314" s="118" t="b">
        <f t="shared" ref="F314:G314" si="144">IF(F311=TRUE,TRUE,FALSE)</f>
        <v>1</v>
      </c>
      <c r="G314" s="118" t="b">
        <f t="shared" si="144"/>
        <v>0</v>
      </c>
      <c r="H314" s="185"/>
      <c r="I314" s="186" t="str">
        <f>IF(G314=TRUE,I311,"")</f>
        <v/>
      </c>
      <c r="J314" s="186"/>
    </row>
    <row r="315" hidden="1">
      <c r="A315" s="184" t="s">
        <v>3279</v>
      </c>
      <c r="B315" s="25" t="s">
        <v>3275</v>
      </c>
      <c r="C315" s="133"/>
      <c r="D315" s="25" t="s">
        <v>64</v>
      </c>
      <c r="E315" s="25" t="s">
        <v>3237</v>
      </c>
      <c r="F315" s="121" t="b">
        <f t="shared" ref="F315:G315" si="145">IF(F311=TRUE,TRUE,FALSE)</f>
        <v>1</v>
      </c>
      <c r="G315" s="121" t="b">
        <f t="shared" si="145"/>
        <v>0</v>
      </c>
      <c r="H315" s="185"/>
      <c r="I315" s="186" t="str">
        <f>IF(G315=TRUE,I311,"")</f>
        <v/>
      </c>
      <c r="J315" s="186"/>
    </row>
    <row r="316" hidden="1">
      <c r="A316" s="187" t="s">
        <v>3280</v>
      </c>
      <c r="B316" s="30" t="s">
        <v>3281</v>
      </c>
      <c r="C316" s="30" t="s">
        <v>3282</v>
      </c>
      <c r="D316" s="30" t="s">
        <v>64</v>
      </c>
      <c r="E316" s="30" t="s">
        <v>3237</v>
      </c>
      <c r="F316" s="118" t="b">
        <f t="shared" ref="F316:G316" si="146">IF(F311=TRUE,TRUE,FALSE)</f>
        <v>1</v>
      </c>
      <c r="G316" s="118" t="b">
        <f t="shared" si="146"/>
        <v>0</v>
      </c>
      <c r="H316" s="185"/>
      <c r="I316" s="186" t="str">
        <f>IF(G316=TRUE,I311,"")</f>
        <v/>
      </c>
      <c r="J316" s="186"/>
    </row>
    <row r="317" hidden="1">
      <c r="A317" s="184" t="s">
        <v>3283</v>
      </c>
      <c r="B317" s="25" t="s">
        <v>3284</v>
      </c>
      <c r="C317" s="25" t="s">
        <v>3285</v>
      </c>
      <c r="D317" s="25" t="s">
        <v>64</v>
      </c>
      <c r="E317" s="25" t="s">
        <v>3237</v>
      </c>
      <c r="F317" s="121" t="b">
        <f t="shared" ref="F317:G317" si="147">IF(F311=TRUE,TRUE,FALSE)</f>
        <v>1</v>
      </c>
      <c r="G317" s="121" t="b">
        <f t="shared" si="147"/>
        <v>0</v>
      </c>
      <c r="H317" s="185"/>
      <c r="I317" s="186" t="str">
        <f>IF(G317=TRUE,I311,"")</f>
        <v/>
      </c>
      <c r="J317" s="186"/>
    </row>
    <row r="318" hidden="1">
      <c r="A318" s="187" t="s">
        <v>3286</v>
      </c>
      <c r="B318" s="30" t="s">
        <v>3287</v>
      </c>
      <c r="C318" s="30" t="s">
        <v>3288</v>
      </c>
      <c r="D318" s="30" t="s">
        <v>64</v>
      </c>
      <c r="E318" s="30" t="s">
        <v>3237</v>
      </c>
      <c r="F318" s="118" t="b">
        <f t="shared" ref="F318:G318" si="148">IF(F311=TRUE,TRUE,FALSE)</f>
        <v>1</v>
      </c>
      <c r="G318" s="118" t="b">
        <f t="shared" si="148"/>
        <v>0</v>
      </c>
      <c r="H318" s="185"/>
      <c r="I318" s="186" t="str">
        <f>IF(G318=TRUE,I311,"")</f>
        <v/>
      </c>
      <c r="J318" s="186"/>
    </row>
    <row r="319" hidden="1">
      <c r="A319" s="184" t="s">
        <v>3289</v>
      </c>
      <c r="B319" s="25" t="s">
        <v>3287</v>
      </c>
      <c r="C319" s="133"/>
      <c r="D319" s="25" t="s">
        <v>64</v>
      </c>
      <c r="E319" s="25" t="s">
        <v>3237</v>
      </c>
      <c r="F319" s="121" t="b">
        <f t="shared" ref="F319:G319" si="149">IF(F311=TRUE,TRUE,FALSE)</f>
        <v>1</v>
      </c>
      <c r="G319" s="121" t="b">
        <f t="shared" si="149"/>
        <v>0</v>
      </c>
      <c r="H319" s="185"/>
      <c r="I319" s="186" t="str">
        <f>IF(G319=TRUE,I311,"")</f>
        <v/>
      </c>
      <c r="J319" s="186"/>
    </row>
    <row r="320" hidden="1">
      <c r="A320" s="187" t="s">
        <v>3290</v>
      </c>
      <c r="B320" s="30" t="s">
        <v>3287</v>
      </c>
      <c r="C320" s="134"/>
      <c r="D320" s="30" t="s">
        <v>64</v>
      </c>
      <c r="E320" s="30" t="s">
        <v>3237</v>
      </c>
      <c r="F320" s="118" t="b">
        <f t="shared" ref="F320:G320" si="150">IF(F311=TRUE,TRUE,FALSE)</f>
        <v>1</v>
      </c>
      <c r="G320" s="118" t="b">
        <f t="shared" si="150"/>
        <v>0</v>
      </c>
      <c r="H320" s="185"/>
      <c r="I320" s="186" t="str">
        <f>IF(G320=TRUE,I311,"")</f>
        <v/>
      </c>
      <c r="J320" s="186"/>
    </row>
    <row r="321" hidden="1">
      <c r="A321" s="184" t="s">
        <v>3291</v>
      </c>
      <c r="B321" s="25" t="s">
        <v>3287</v>
      </c>
      <c r="C321" s="133"/>
      <c r="D321" s="25" t="s">
        <v>64</v>
      </c>
      <c r="E321" s="25" t="s">
        <v>3237</v>
      </c>
      <c r="F321" s="121" t="b">
        <f t="shared" ref="F321:G321" si="151">IF(F311=TRUE,TRUE,FALSE)</f>
        <v>1</v>
      </c>
      <c r="G321" s="121" t="b">
        <f t="shared" si="151"/>
        <v>0</v>
      </c>
      <c r="H321" s="185"/>
      <c r="I321" s="186" t="str">
        <f>IF(G321=TRUE,I311,"")</f>
        <v/>
      </c>
      <c r="J321" s="186"/>
    </row>
    <row r="322" hidden="1">
      <c r="A322" s="187" t="s">
        <v>3292</v>
      </c>
      <c r="B322" s="30" t="s">
        <v>3287</v>
      </c>
      <c r="C322" s="134"/>
      <c r="D322" s="30" t="s">
        <v>64</v>
      </c>
      <c r="E322" s="30" t="s">
        <v>3237</v>
      </c>
      <c r="F322" s="118" t="b">
        <f t="shared" ref="F322:G322" si="152">IF(F311=TRUE,TRUE,FALSE)</f>
        <v>1</v>
      </c>
      <c r="G322" s="118" t="b">
        <f t="shared" si="152"/>
        <v>0</v>
      </c>
      <c r="H322" s="185"/>
      <c r="I322" s="186" t="str">
        <f>IF(G322=TRUE,I311,"")</f>
        <v/>
      </c>
      <c r="J322" s="186"/>
    </row>
    <row r="323" hidden="1">
      <c r="A323" s="184" t="s">
        <v>3293</v>
      </c>
      <c r="B323" s="25" t="s">
        <v>3287</v>
      </c>
      <c r="C323" s="133"/>
      <c r="D323" s="25" t="s">
        <v>64</v>
      </c>
      <c r="E323" s="25" t="s">
        <v>3237</v>
      </c>
      <c r="F323" s="121" t="b">
        <f t="shared" ref="F323:G323" si="153">IF(F311=TRUE,TRUE,FALSE)</f>
        <v>1</v>
      </c>
      <c r="G323" s="121" t="b">
        <f t="shared" si="153"/>
        <v>0</v>
      </c>
      <c r="H323" s="185"/>
      <c r="I323" s="186" t="str">
        <f>IF(G323=TRUE,I311,"")</f>
        <v/>
      </c>
      <c r="J323" s="186"/>
    </row>
    <row r="324" hidden="1">
      <c r="A324" s="187" t="s">
        <v>3294</v>
      </c>
      <c r="B324" s="30" t="s">
        <v>3287</v>
      </c>
      <c r="C324" s="134"/>
      <c r="D324" s="30" t="s">
        <v>64</v>
      </c>
      <c r="E324" s="30" t="s">
        <v>3237</v>
      </c>
      <c r="F324" s="118" t="b">
        <f t="shared" ref="F324:G324" si="154">IF(F311=TRUE,TRUE,FALSE)</f>
        <v>1</v>
      </c>
      <c r="G324" s="118" t="b">
        <f t="shared" si="154"/>
        <v>0</v>
      </c>
      <c r="H324" s="185"/>
      <c r="I324" s="186" t="str">
        <f>IF(G324=TRUE,I311,"")</f>
        <v/>
      </c>
      <c r="J324" s="186"/>
    </row>
    <row r="325" hidden="1">
      <c r="A325" s="184" t="s">
        <v>3295</v>
      </c>
      <c r="B325" s="25" t="s">
        <v>3287</v>
      </c>
      <c r="C325" s="133"/>
      <c r="D325" s="25" t="s">
        <v>64</v>
      </c>
      <c r="E325" s="25" t="s">
        <v>3237</v>
      </c>
      <c r="F325" s="121" t="b">
        <f t="shared" ref="F325:G325" si="155">IF(F311=TRUE,TRUE,FALSE)</f>
        <v>1</v>
      </c>
      <c r="G325" s="121" t="b">
        <f t="shared" si="155"/>
        <v>0</v>
      </c>
      <c r="H325" s="185"/>
      <c r="I325" s="186" t="str">
        <f>IF(G325=TRUE,I311,"")</f>
        <v/>
      </c>
      <c r="J325" s="186"/>
    </row>
    <row r="326" hidden="1">
      <c r="A326" s="187" t="s">
        <v>3296</v>
      </c>
      <c r="B326" s="30" t="s">
        <v>3287</v>
      </c>
      <c r="C326" s="134"/>
      <c r="D326" s="30" t="s">
        <v>64</v>
      </c>
      <c r="E326" s="30" t="s">
        <v>3237</v>
      </c>
      <c r="F326" s="118" t="b">
        <f t="shared" ref="F326:G326" si="156">IF(F311=TRUE,TRUE,FALSE)</f>
        <v>1</v>
      </c>
      <c r="G326" s="118" t="b">
        <f t="shared" si="156"/>
        <v>0</v>
      </c>
      <c r="H326" s="185"/>
      <c r="I326" s="186" t="str">
        <f>IF(G326=TRUE,I311,"")</f>
        <v/>
      </c>
      <c r="J326" s="186"/>
    </row>
    <row r="327" hidden="1">
      <c r="A327" s="184" t="s">
        <v>3297</v>
      </c>
      <c r="B327" s="25" t="s">
        <v>3287</v>
      </c>
      <c r="C327" s="133"/>
      <c r="D327" s="25" t="s">
        <v>64</v>
      </c>
      <c r="E327" s="25" t="s">
        <v>3237</v>
      </c>
      <c r="F327" s="121" t="b">
        <f t="shared" ref="F327:G327" si="157">IF(F311=TRUE,TRUE,FALSE)</f>
        <v>1</v>
      </c>
      <c r="G327" s="121" t="b">
        <f t="shared" si="157"/>
        <v>0</v>
      </c>
      <c r="H327" s="185"/>
      <c r="I327" s="186" t="str">
        <f>IF(G327=TRUE,I311,"")</f>
        <v/>
      </c>
      <c r="J327" s="186"/>
    </row>
    <row r="328" hidden="1">
      <c r="A328" s="187" t="s">
        <v>3298</v>
      </c>
      <c r="B328" s="30" t="s">
        <v>3287</v>
      </c>
      <c r="C328" s="134"/>
      <c r="D328" s="30" t="s">
        <v>64</v>
      </c>
      <c r="E328" s="30" t="s">
        <v>3237</v>
      </c>
      <c r="F328" s="118" t="b">
        <f t="shared" ref="F328:G328" si="158">IF(F311=TRUE,TRUE,FALSE)</f>
        <v>1</v>
      </c>
      <c r="G328" s="118" t="b">
        <f t="shared" si="158"/>
        <v>0</v>
      </c>
      <c r="H328" s="185"/>
      <c r="I328" s="186" t="str">
        <f>IF(G328=TRUE,I311,"")</f>
        <v/>
      </c>
      <c r="J328" s="186"/>
    </row>
    <row r="329" hidden="1">
      <c r="A329" s="184" t="s">
        <v>3299</v>
      </c>
      <c r="B329" s="25" t="s">
        <v>3287</v>
      </c>
      <c r="C329" s="133"/>
      <c r="D329" s="25" t="s">
        <v>64</v>
      </c>
      <c r="E329" s="25" t="s">
        <v>3237</v>
      </c>
      <c r="F329" s="121" t="b">
        <f t="shared" ref="F329:G329" si="159">IF(F311=TRUE,TRUE,FALSE)</f>
        <v>1</v>
      </c>
      <c r="G329" s="121" t="b">
        <f t="shared" si="159"/>
        <v>0</v>
      </c>
      <c r="H329" s="185"/>
      <c r="I329" s="186" t="str">
        <f>IF(G329=TRUE,I311,"")</f>
        <v/>
      </c>
      <c r="J329" s="186"/>
    </row>
    <row r="330" hidden="1">
      <c r="A330" s="187" t="s">
        <v>3300</v>
      </c>
      <c r="B330" s="30" t="s">
        <v>3287</v>
      </c>
      <c r="C330" s="134"/>
      <c r="D330" s="30" t="s">
        <v>64</v>
      </c>
      <c r="E330" s="30" t="s">
        <v>3237</v>
      </c>
      <c r="F330" s="118" t="b">
        <f t="shared" ref="F330:G330" si="160">IF(F311=TRUE,TRUE,FALSE)</f>
        <v>1</v>
      </c>
      <c r="G330" s="118" t="b">
        <f t="shared" si="160"/>
        <v>0</v>
      </c>
      <c r="H330" s="185"/>
      <c r="I330" s="186" t="str">
        <f>IF(G330=TRUE,I311,"")</f>
        <v/>
      </c>
      <c r="J330" s="186"/>
    </row>
    <row r="331" hidden="1">
      <c r="A331" s="184" t="s">
        <v>3301</v>
      </c>
      <c r="B331" s="25" t="s">
        <v>3287</v>
      </c>
      <c r="C331" s="133"/>
      <c r="D331" s="25" t="s">
        <v>64</v>
      </c>
      <c r="E331" s="25" t="s">
        <v>3237</v>
      </c>
      <c r="F331" s="121" t="b">
        <f t="shared" ref="F331:G331" si="161">IF(F311=TRUE,TRUE,FALSE)</f>
        <v>1</v>
      </c>
      <c r="G331" s="121" t="b">
        <f t="shared" si="161"/>
        <v>0</v>
      </c>
      <c r="H331" s="185"/>
      <c r="I331" s="186" t="str">
        <f>IF(G331=TRUE,I311,"")</f>
        <v/>
      </c>
      <c r="J331" s="186"/>
    </row>
    <row r="332" hidden="1">
      <c r="A332" s="187" t="s">
        <v>3302</v>
      </c>
      <c r="B332" s="30" t="s">
        <v>3287</v>
      </c>
      <c r="C332" s="134"/>
      <c r="D332" s="30" t="s">
        <v>64</v>
      </c>
      <c r="E332" s="30" t="s">
        <v>3237</v>
      </c>
      <c r="F332" s="118" t="b">
        <f t="shared" ref="F332:G332" si="162">IF(F311=TRUE,TRUE,FALSE)</f>
        <v>1</v>
      </c>
      <c r="G332" s="118" t="b">
        <f t="shared" si="162"/>
        <v>0</v>
      </c>
      <c r="H332" s="185"/>
      <c r="I332" s="186" t="str">
        <f>IF(G332=TRUE,I311,"")</f>
        <v/>
      </c>
      <c r="J332" s="186"/>
    </row>
    <row r="333" hidden="1">
      <c r="A333" s="184" t="s">
        <v>3303</v>
      </c>
      <c r="B333" s="25" t="s">
        <v>3287</v>
      </c>
      <c r="C333" s="133"/>
      <c r="D333" s="25" t="s">
        <v>64</v>
      </c>
      <c r="E333" s="25" t="s">
        <v>3237</v>
      </c>
      <c r="F333" s="121" t="b">
        <f t="shared" ref="F333:G333" si="163">IF(F311=TRUE,TRUE,FALSE)</f>
        <v>1</v>
      </c>
      <c r="G333" s="121" t="b">
        <f t="shared" si="163"/>
        <v>0</v>
      </c>
      <c r="H333" s="185"/>
      <c r="I333" s="186" t="str">
        <f>IF(G333=TRUE,I311,"")</f>
        <v/>
      </c>
      <c r="J333" s="186"/>
    </row>
    <row r="334" hidden="1">
      <c r="A334" s="187" t="s">
        <v>3304</v>
      </c>
      <c r="B334" s="30" t="s">
        <v>3287</v>
      </c>
      <c r="C334" s="134"/>
      <c r="D334" s="30" t="s">
        <v>64</v>
      </c>
      <c r="E334" s="30" t="s">
        <v>3237</v>
      </c>
      <c r="F334" s="118" t="b">
        <f t="shared" ref="F334:G334" si="164">IF(F311=TRUE,TRUE,FALSE)</f>
        <v>1</v>
      </c>
      <c r="G334" s="118" t="b">
        <f t="shared" si="164"/>
        <v>0</v>
      </c>
      <c r="H334" s="185"/>
      <c r="I334" s="186" t="str">
        <f>IF(G334=TRUE,I311,"")</f>
        <v/>
      </c>
      <c r="J334" s="186"/>
    </row>
    <row r="335" hidden="1">
      <c r="A335" s="184" t="s">
        <v>3305</v>
      </c>
      <c r="B335" s="25" t="s">
        <v>3287</v>
      </c>
      <c r="C335" s="133"/>
      <c r="D335" s="25" t="s">
        <v>64</v>
      </c>
      <c r="E335" s="25" t="s">
        <v>3237</v>
      </c>
      <c r="F335" s="121" t="b">
        <f t="shared" ref="F335:G335" si="165">IF(F311=TRUE,TRUE,FALSE)</f>
        <v>1</v>
      </c>
      <c r="G335" s="121" t="b">
        <f t="shared" si="165"/>
        <v>0</v>
      </c>
      <c r="H335" s="185"/>
      <c r="I335" s="186" t="str">
        <f>IF(G335=TRUE,I311,"")</f>
        <v/>
      </c>
      <c r="J335" s="186"/>
    </row>
    <row r="336" hidden="1">
      <c r="A336" s="187" t="s">
        <v>3306</v>
      </c>
      <c r="B336" s="30" t="s">
        <v>3287</v>
      </c>
      <c r="C336" s="134"/>
      <c r="D336" s="30" t="s">
        <v>64</v>
      </c>
      <c r="E336" s="30" t="s">
        <v>3237</v>
      </c>
      <c r="F336" s="118" t="b">
        <f t="shared" ref="F336:G336" si="166">IF(F311=TRUE,TRUE,FALSE)</f>
        <v>1</v>
      </c>
      <c r="G336" s="118" t="b">
        <f t="shared" si="166"/>
        <v>0</v>
      </c>
      <c r="H336" s="185"/>
      <c r="I336" s="186" t="str">
        <f>IF(G336=TRUE,I311,"")</f>
        <v/>
      </c>
      <c r="J336" s="186"/>
    </row>
    <row r="337" hidden="1">
      <c r="A337" s="184" t="s">
        <v>3307</v>
      </c>
      <c r="B337" s="25" t="s">
        <v>3287</v>
      </c>
      <c r="C337" s="133"/>
      <c r="D337" s="25" t="s">
        <v>64</v>
      </c>
      <c r="E337" s="25" t="s">
        <v>3237</v>
      </c>
      <c r="F337" s="121" t="b">
        <f t="shared" ref="F337:G337" si="167">IF(F311=TRUE,TRUE,FALSE)</f>
        <v>1</v>
      </c>
      <c r="G337" s="121" t="b">
        <f t="shared" si="167"/>
        <v>0</v>
      </c>
      <c r="H337" s="185"/>
      <c r="I337" s="186" t="str">
        <f>IF(G337=TRUE,I311,"")</f>
        <v/>
      </c>
      <c r="J337" s="186"/>
    </row>
    <row r="338" hidden="1">
      <c r="A338" s="187" t="s">
        <v>3308</v>
      </c>
      <c r="B338" s="30" t="s">
        <v>3287</v>
      </c>
      <c r="C338" s="134"/>
      <c r="D338" s="30" t="s">
        <v>64</v>
      </c>
      <c r="E338" s="30" t="s">
        <v>3237</v>
      </c>
      <c r="F338" s="118" t="b">
        <f t="shared" ref="F338:G338" si="168">IF(F311=TRUE,TRUE,FALSE)</f>
        <v>1</v>
      </c>
      <c r="G338" s="118" t="b">
        <f t="shared" si="168"/>
        <v>0</v>
      </c>
      <c r="H338" s="185"/>
      <c r="I338" s="186" t="str">
        <f>IF(G338=TRUE,I311,"")</f>
        <v/>
      </c>
      <c r="J338" s="186"/>
    </row>
    <row r="339" hidden="1">
      <c r="A339" s="184" t="s">
        <v>3309</v>
      </c>
      <c r="B339" s="25" t="s">
        <v>3287</v>
      </c>
      <c r="C339" s="133"/>
      <c r="D339" s="25" t="s">
        <v>64</v>
      </c>
      <c r="E339" s="25" t="s">
        <v>3237</v>
      </c>
      <c r="F339" s="121" t="b">
        <f t="shared" ref="F339:G339" si="169">IF(F311=TRUE,TRUE,FALSE)</f>
        <v>1</v>
      </c>
      <c r="G339" s="121" t="b">
        <f t="shared" si="169"/>
        <v>0</v>
      </c>
      <c r="H339" s="185"/>
      <c r="I339" s="186" t="str">
        <f>IF(G339=TRUE,I311,"")</f>
        <v/>
      </c>
      <c r="J339" s="186"/>
    </row>
    <row r="340" hidden="1">
      <c r="A340" s="187" t="s">
        <v>3310</v>
      </c>
      <c r="B340" s="30" t="s">
        <v>3287</v>
      </c>
      <c r="C340" s="134"/>
      <c r="D340" s="30" t="s">
        <v>64</v>
      </c>
      <c r="E340" s="30" t="s">
        <v>3237</v>
      </c>
      <c r="F340" s="118" t="b">
        <f t="shared" ref="F340:G340" si="170">IF(F311=TRUE,TRUE,FALSE)</f>
        <v>1</v>
      </c>
      <c r="G340" s="118" t="b">
        <f t="shared" si="170"/>
        <v>0</v>
      </c>
      <c r="H340" s="185"/>
      <c r="I340" s="186" t="str">
        <f>IF(G340=TRUE,I311,"")</f>
        <v/>
      </c>
      <c r="J340" s="186"/>
    </row>
    <row r="341" hidden="1">
      <c r="A341" s="184" t="s">
        <v>3311</v>
      </c>
      <c r="B341" s="25" t="s">
        <v>3287</v>
      </c>
      <c r="C341" s="133"/>
      <c r="D341" s="25" t="s">
        <v>64</v>
      </c>
      <c r="E341" s="25" t="s">
        <v>3237</v>
      </c>
      <c r="F341" s="121" t="b">
        <f t="shared" ref="F341:G341" si="171">IF(F311=TRUE,TRUE,FALSE)</f>
        <v>1</v>
      </c>
      <c r="G341" s="121" t="b">
        <f t="shared" si="171"/>
        <v>0</v>
      </c>
      <c r="H341" s="185"/>
      <c r="I341" s="186" t="str">
        <f>IF(G341=TRUE,I311,"")</f>
        <v/>
      </c>
      <c r="J341" s="186"/>
    </row>
    <row r="342" hidden="1">
      <c r="A342" s="187" t="s">
        <v>3312</v>
      </c>
      <c r="B342" s="30" t="s">
        <v>3287</v>
      </c>
      <c r="C342" s="134"/>
      <c r="D342" s="30" t="s">
        <v>64</v>
      </c>
      <c r="E342" s="30" t="s">
        <v>3237</v>
      </c>
      <c r="F342" s="118" t="b">
        <f t="shared" ref="F342:G342" si="172">IF(F311=TRUE,TRUE,FALSE)</f>
        <v>1</v>
      </c>
      <c r="G342" s="118" t="b">
        <f t="shared" si="172"/>
        <v>0</v>
      </c>
      <c r="H342" s="185"/>
      <c r="I342" s="186" t="str">
        <f>IF(G342=TRUE,I311,"")</f>
        <v/>
      </c>
      <c r="J342" s="186"/>
    </row>
    <row r="343" hidden="1">
      <c r="A343" s="184" t="s">
        <v>3313</v>
      </c>
      <c r="B343" s="25" t="s">
        <v>3287</v>
      </c>
      <c r="C343" s="133"/>
      <c r="D343" s="25" t="s">
        <v>64</v>
      </c>
      <c r="E343" s="25" t="s">
        <v>3237</v>
      </c>
      <c r="F343" s="121" t="b">
        <f t="shared" ref="F343:G343" si="173">IF(F311=TRUE,TRUE,FALSE)</f>
        <v>1</v>
      </c>
      <c r="G343" s="121" t="b">
        <f t="shared" si="173"/>
        <v>0</v>
      </c>
      <c r="H343" s="185"/>
      <c r="I343" s="186" t="str">
        <f>IF(G343=TRUE,I311,"")</f>
        <v/>
      </c>
      <c r="J343" s="186"/>
    </row>
    <row r="344" hidden="1">
      <c r="A344" s="187" t="s">
        <v>3314</v>
      </c>
      <c r="B344" s="30" t="s">
        <v>3287</v>
      </c>
      <c r="C344" s="134"/>
      <c r="D344" s="30" t="s">
        <v>64</v>
      </c>
      <c r="E344" s="30" t="s">
        <v>3237</v>
      </c>
      <c r="F344" s="118" t="b">
        <f t="shared" ref="F344:G344" si="174">IF(F311=TRUE,TRUE,FALSE)</f>
        <v>1</v>
      </c>
      <c r="G344" s="118" t="b">
        <f t="shared" si="174"/>
        <v>0</v>
      </c>
      <c r="H344" s="185"/>
      <c r="I344" s="186" t="str">
        <f>IF(G344=TRUE,I311,"")</f>
        <v/>
      </c>
      <c r="J344" s="186"/>
    </row>
    <row r="345" hidden="1">
      <c r="A345" s="184" t="s">
        <v>3315</v>
      </c>
      <c r="B345" s="25" t="s">
        <v>3287</v>
      </c>
      <c r="C345" s="133"/>
      <c r="D345" s="25" t="s">
        <v>64</v>
      </c>
      <c r="E345" s="25" t="s">
        <v>3237</v>
      </c>
      <c r="F345" s="121" t="b">
        <f t="shared" ref="F345:G345" si="175">IF(F311=TRUE,TRUE,FALSE)</f>
        <v>1</v>
      </c>
      <c r="G345" s="121" t="b">
        <f t="shared" si="175"/>
        <v>0</v>
      </c>
      <c r="H345" s="185"/>
      <c r="I345" s="186" t="str">
        <f>IF(G345=TRUE,I311,"")</f>
        <v/>
      </c>
      <c r="J345" s="186"/>
    </row>
    <row r="346" hidden="1">
      <c r="A346" s="187" t="s">
        <v>3316</v>
      </c>
      <c r="B346" s="30" t="s">
        <v>3287</v>
      </c>
      <c r="C346" s="134"/>
      <c r="D346" s="30" t="s">
        <v>64</v>
      </c>
      <c r="E346" s="30" t="s">
        <v>3237</v>
      </c>
      <c r="F346" s="118" t="b">
        <f t="shared" ref="F346:G346" si="176">IF(F311=TRUE,TRUE,FALSE)</f>
        <v>1</v>
      </c>
      <c r="G346" s="118" t="b">
        <f t="shared" si="176"/>
        <v>0</v>
      </c>
      <c r="H346" s="185"/>
      <c r="I346" s="186" t="str">
        <f>IF(G346=TRUE,I311,"")</f>
        <v/>
      </c>
      <c r="J346" s="186"/>
    </row>
    <row r="347" hidden="1">
      <c r="A347" s="184" t="s">
        <v>3317</v>
      </c>
      <c r="B347" s="25" t="s">
        <v>3287</v>
      </c>
      <c r="C347" s="133"/>
      <c r="D347" s="25" t="s">
        <v>64</v>
      </c>
      <c r="E347" s="25" t="s">
        <v>3237</v>
      </c>
      <c r="F347" s="121" t="b">
        <f t="shared" ref="F347:G347" si="177">IF(F311=TRUE,TRUE,FALSE)</f>
        <v>1</v>
      </c>
      <c r="G347" s="121" t="b">
        <f t="shared" si="177"/>
        <v>0</v>
      </c>
      <c r="H347" s="185"/>
      <c r="I347" s="186" t="str">
        <f>IF(G347=TRUE,I311,"")</f>
        <v/>
      </c>
      <c r="J347" s="186"/>
    </row>
    <row r="348" hidden="1">
      <c r="A348" s="187" t="s">
        <v>3318</v>
      </c>
      <c r="B348" s="30" t="s">
        <v>3287</v>
      </c>
      <c r="C348" s="134"/>
      <c r="D348" s="30" t="s">
        <v>64</v>
      </c>
      <c r="E348" s="30" t="s">
        <v>3237</v>
      </c>
      <c r="F348" s="118" t="b">
        <f t="shared" ref="F348:G348" si="178">IF(F311=TRUE,TRUE,FALSE)</f>
        <v>1</v>
      </c>
      <c r="G348" s="118" t="b">
        <f t="shared" si="178"/>
        <v>0</v>
      </c>
      <c r="H348" s="185"/>
      <c r="I348" s="186" t="str">
        <f>IF(G348=TRUE,I311,"")</f>
        <v/>
      </c>
      <c r="J348" s="186"/>
    </row>
    <row r="349" hidden="1">
      <c r="A349" s="184" t="s">
        <v>3319</v>
      </c>
      <c r="B349" s="25" t="s">
        <v>3287</v>
      </c>
      <c r="C349" s="133"/>
      <c r="D349" s="25" t="s">
        <v>64</v>
      </c>
      <c r="E349" s="25" t="s">
        <v>3237</v>
      </c>
      <c r="F349" s="121" t="b">
        <f t="shared" ref="F349:G349" si="179">IF(F311=TRUE,TRUE,FALSE)</f>
        <v>1</v>
      </c>
      <c r="G349" s="121" t="b">
        <f t="shared" si="179"/>
        <v>0</v>
      </c>
      <c r="H349" s="185"/>
      <c r="I349" s="186" t="str">
        <f>IF(G349=TRUE,I311,"")</f>
        <v/>
      </c>
      <c r="J349" s="186"/>
    </row>
    <row r="350" hidden="1">
      <c r="A350" s="187" t="s">
        <v>3320</v>
      </c>
      <c r="B350" s="30" t="s">
        <v>3287</v>
      </c>
      <c r="C350" s="134"/>
      <c r="D350" s="30" t="s">
        <v>64</v>
      </c>
      <c r="E350" s="30" t="s">
        <v>3237</v>
      </c>
      <c r="F350" s="118" t="b">
        <f t="shared" ref="F350:G350" si="180">IF(F311=TRUE,TRUE,FALSE)</f>
        <v>1</v>
      </c>
      <c r="G350" s="118" t="b">
        <f t="shared" si="180"/>
        <v>0</v>
      </c>
      <c r="H350" s="185"/>
      <c r="I350" s="186" t="str">
        <f>IF(G350=TRUE,I311,"")</f>
        <v/>
      </c>
      <c r="J350" s="186"/>
    </row>
    <row r="351" hidden="1">
      <c r="A351" s="184" t="s">
        <v>3321</v>
      </c>
      <c r="B351" s="25" t="s">
        <v>3287</v>
      </c>
      <c r="C351" s="133"/>
      <c r="D351" s="25" t="s">
        <v>64</v>
      </c>
      <c r="E351" s="25" t="s">
        <v>3237</v>
      </c>
      <c r="F351" s="121" t="b">
        <f t="shared" ref="F351:G351" si="181">IF(F311=TRUE,TRUE,FALSE)</f>
        <v>1</v>
      </c>
      <c r="G351" s="121" t="b">
        <f t="shared" si="181"/>
        <v>0</v>
      </c>
      <c r="H351" s="185"/>
      <c r="I351" s="186" t="str">
        <f>IF(G351=TRUE,I311,"")</f>
        <v/>
      </c>
      <c r="J351" s="186"/>
    </row>
    <row r="352" hidden="1">
      <c r="A352" s="187" t="s">
        <v>3322</v>
      </c>
      <c r="B352" s="30" t="s">
        <v>3287</v>
      </c>
      <c r="C352" s="134"/>
      <c r="D352" s="30" t="s">
        <v>64</v>
      </c>
      <c r="E352" s="30" t="s">
        <v>3237</v>
      </c>
      <c r="F352" s="118" t="b">
        <f t="shared" ref="F352:G352" si="182">IF(F311=TRUE,TRUE,FALSE)</f>
        <v>1</v>
      </c>
      <c r="G352" s="118" t="b">
        <f t="shared" si="182"/>
        <v>0</v>
      </c>
      <c r="H352" s="185"/>
      <c r="I352" s="186" t="str">
        <f>IF(G352=TRUE,I311,"")</f>
        <v/>
      </c>
      <c r="J352" s="186"/>
    </row>
    <row r="353" hidden="1">
      <c r="A353" s="184" t="s">
        <v>3323</v>
      </c>
      <c r="B353" s="25" t="s">
        <v>3287</v>
      </c>
      <c r="C353" s="133"/>
      <c r="D353" s="25" t="s">
        <v>64</v>
      </c>
      <c r="E353" s="25" t="s">
        <v>3237</v>
      </c>
      <c r="F353" s="121" t="b">
        <f t="shared" ref="F353:G353" si="183">IF(F311=TRUE,TRUE,FALSE)</f>
        <v>1</v>
      </c>
      <c r="G353" s="121" t="b">
        <f t="shared" si="183"/>
        <v>0</v>
      </c>
      <c r="H353" s="185"/>
      <c r="I353" s="186" t="str">
        <f>IF(G353=TRUE,I311,"")</f>
        <v/>
      </c>
      <c r="J353" s="186"/>
    </row>
    <row r="354" hidden="1">
      <c r="A354" s="187" t="s">
        <v>3324</v>
      </c>
      <c r="B354" s="30" t="s">
        <v>3287</v>
      </c>
      <c r="C354" s="134"/>
      <c r="D354" s="30" t="s">
        <v>64</v>
      </c>
      <c r="E354" s="30" t="s">
        <v>3237</v>
      </c>
      <c r="F354" s="118" t="b">
        <f t="shared" ref="F354:G354" si="184">IF(F311=TRUE,TRUE,FALSE)</f>
        <v>1</v>
      </c>
      <c r="G354" s="118" t="b">
        <f t="shared" si="184"/>
        <v>0</v>
      </c>
      <c r="H354" s="185"/>
      <c r="I354" s="186" t="str">
        <f>IF(G354=TRUE,I311,"")</f>
        <v/>
      </c>
      <c r="J354" s="186"/>
    </row>
    <row r="355" hidden="1">
      <c r="A355" s="184" t="s">
        <v>3325</v>
      </c>
      <c r="B355" s="25" t="s">
        <v>3287</v>
      </c>
      <c r="C355" s="133"/>
      <c r="D355" s="25" t="s">
        <v>64</v>
      </c>
      <c r="E355" s="25" t="s">
        <v>3237</v>
      </c>
      <c r="F355" s="121" t="b">
        <f t="shared" ref="F355:G355" si="185">IF(F311=TRUE,TRUE,FALSE)</f>
        <v>1</v>
      </c>
      <c r="G355" s="121" t="b">
        <f t="shared" si="185"/>
        <v>0</v>
      </c>
      <c r="H355" s="185"/>
      <c r="I355" s="186" t="str">
        <f>IF(G355=TRUE,I311,"")</f>
        <v/>
      </c>
      <c r="J355" s="186"/>
    </row>
    <row r="356" hidden="1">
      <c r="A356" s="187" t="s">
        <v>3326</v>
      </c>
      <c r="B356" s="30" t="s">
        <v>3287</v>
      </c>
      <c r="C356" s="134"/>
      <c r="D356" s="30" t="s">
        <v>64</v>
      </c>
      <c r="E356" s="30" t="s">
        <v>3237</v>
      </c>
      <c r="F356" s="118" t="b">
        <f t="shared" ref="F356:G356" si="186">IF(F311=TRUE,TRUE,FALSE)</f>
        <v>1</v>
      </c>
      <c r="G356" s="118" t="b">
        <f t="shared" si="186"/>
        <v>0</v>
      </c>
      <c r="H356" s="185"/>
      <c r="I356" s="186" t="str">
        <f>IF(G356=TRUE,I311,"")</f>
        <v/>
      </c>
      <c r="J356" s="186"/>
    </row>
    <row r="357" hidden="1">
      <c r="A357" s="184" t="s">
        <v>3327</v>
      </c>
      <c r="B357" s="25" t="s">
        <v>3287</v>
      </c>
      <c r="C357" s="133"/>
      <c r="D357" s="25" t="s">
        <v>64</v>
      </c>
      <c r="E357" s="25" t="s">
        <v>3237</v>
      </c>
      <c r="F357" s="121" t="b">
        <f t="shared" ref="F357:G357" si="187">IF(F311=TRUE,TRUE,FALSE)</f>
        <v>1</v>
      </c>
      <c r="G357" s="121" t="b">
        <f t="shared" si="187"/>
        <v>0</v>
      </c>
      <c r="H357" s="185"/>
      <c r="I357" s="186" t="str">
        <f>IF(G357=TRUE,I311,"")</f>
        <v/>
      </c>
      <c r="J357" s="186"/>
    </row>
    <row r="358" hidden="1">
      <c r="A358" s="187" t="s">
        <v>3328</v>
      </c>
      <c r="B358" s="30" t="s">
        <v>3287</v>
      </c>
      <c r="C358" s="134"/>
      <c r="D358" s="30" t="s">
        <v>64</v>
      </c>
      <c r="E358" s="30" t="s">
        <v>3237</v>
      </c>
      <c r="F358" s="118" t="b">
        <f t="shared" ref="F358:G358" si="188">IF(F311=TRUE,TRUE,FALSE)</f>
        <v>1</v>
      </c>
      <c r="G358" s="118" t="b">
        <f t="shared" si="188"/>
        <v>0</v>
      </c>
      <c r="H358" s="185"/>
      <c r="I358" s="186" t="str">
        <f>IF(G358=TRUE,I311,"")</f>
        <v/>
      </c>
      <c r="J358" s="186"/>
    </row>
    <row r="359" hidden="1">
      <c r="A359" s="184" t="s">
        <v>3329</v>
      </c>
      <c r="B359" s="25" t="s">
        <v>3287</v>
      </c>
      <c r="C359" s="133"/>
      <c r="D359" s="25" t="s">
        <v>64</v>
      </c>
      <c r="E359" s="25" t="s">
        <v>3237</v>
      </c>
      <c r="F359" s="121" t="b">
        <f t="shared" ref="F359:G359" si="189">IF(F311=TRUE,TRUE,FALSE)</f>
        <v>1</v>
      </c>
      <c r="G359" s="121" t="b">
        <f t="shared" si="189"/>
        <v>0</v>
      </c>
      <c r="H359" s="185"/>
      <c r="I359" s="186" t="str">
        <f>IF(G359=TRUE,I311,"")</f>
        <v/>
      </c>
      <c r="J359" s="186"/>
    </row>
    <row r="360" hidden="1">
      <c r="A360" s="187" t="s">
        <v>3330</v>
      </c>
      <c r="B360" s="30" t="s">
        <v>3287</v>
      </c>
      <c r="C360" s="134"/>
      <c r="D360" s="30" t="s">
        <v>64</v>
      </c>
      <c r="E360" s="30" t="s">
        <v>3237</v>
      </c>
      <c r="F360" s="118" t="b">
        <f t="shared" ref="F360:G360" si="190">IF(F311=TRUE,TRUE,FALSE)</f>
        <v>1</v>
      </c>
      <c r="G360" s="118" t="b">
        <f t="shared" si="190"/>
        <v>0</v>
      </c>
      <c r="H360" s="185"/>
      <c r="I360" s="186" t="str">
        <f>IF(G360=TRUE,I311,"")</f>
        <v/>
      </c>
      <c r="J360" s="186"/>
    </row>
    <row r="361" hidden="1">
      <c r="A361" s="184" t="s">
        <v>3331</v>
      </c>
      <c r="B361" s="25" t="s">
        <v>3287</v>
      </c>
      <c r="C361" s="133"/>
      <c r="D361" s="25" t="s">
        <v>64</v>
      </c>
      <c r="E361" s="25" t="s">
        <v>3237</v>
      </c>
      <c r="F361" s="121" t="b">
        <f t="shared" ref="F361:G361" si="191">IF(F311=TRUE,TRUE,FALSE)</f>
        <v>1</v>
      </c>
      <c r="G361" s="121" t="b">
        <f t="shared" si="191"/>
        <v>0</v>
      </c>
      <c r="H361" s="185"/>
      <c r="I361" s="186" t="str">
        <f>IF(G361=TRUE,I311,"")</f>
        <v/>
      </c>
      <c r="J361" s="186"/>
    </row>
    <row r="362" hidden="1">
      <c r="A362" s="187" t="s">
        <v>3332</v>
      </c>
      <c r="B362" s="30" t="s">
        <v>3287</v>
      </c>
      <c r="C362" s="134"/>
      <c r="D362" s="30" t="s">
        <v>64</v>
      </c>
      <c r="E362" s="30" t="s">
        <v>3237</v>
      </c>
      <c r="F362" s="118" t="b">
        <f t="shared" ref="F362:G362" si="192">IF(F311=TRUE,TRUE,FALSE)</f>
        <v>1</v>
      </c>
      <c r="G362" s="118" t="b">
        <f t="shared" si="192"/>
        <v>0</v>
      </c>
      <c r="H362" s="185"/>
      <c r="I362" s="186" t="str">
        <f>IF(G362=TRUE,I311,"")</f>
        <v/>
      </c>
      <c r="J362" s="186"/>
    </row>
    <row r="363" hidden="1">
      <c r="A363" s="184" t="s">
        <v>3333</v>
      </c>
      <c r="B363" s="25" t="s">
        <v>3287</v>
      </c>
      <c r="C363" s="133"/>
      <c r="D363" s="25" t="s">
        <v>64</v>
      </c>
      <c r="E363" s="25" t="s">
        <v>3237</v>
      </c>
      <c r="F363" s="121" t="b">
        <f t="shared" ref="F363:G363" si="193">IF(F311=TRUE,TRUE,FALSE)</f>
        <v>1</v>
      </c>
      <c r="G363" s="121" t="b">
        <f t="shared" si="193"/>
        <v>0</v>
      </c>
      <c r="H363" s="185"/>
      <c r="I363" s="186" t="str">
        <f>IF(G363=TRUE,I311,"")</f>
        <v/>
      </c>
      <c r="J363" s="186"/>
    </row>
    <row r="364" hidden="1">
      <c r="A364" s="187" t="s">
        <v>3334</v>
      </c>
      <c r="B364" s="30" t="s">
        <v>3287</v>
      </c>
      <c r="C364" s="134"/>
      <c r="D364" s="30" t="s">
        <v>64</v>
      </c>
      <c r="E364" s="30" t="s">
        <v>3237</v>
      </c>
      <c r="F364" s="118" t="b">
        <f t="shared" ref="F364:G364" si="194">IF(F311=TRUE,TRUE,FALSE)</f>
        <v>1</v>
      </c>
      <c r="G364" s="118" t="b">
        <f t="shared" si="194"/>
        <v>0</v>
      </c>
      <c r="H364" s="185"/>
      <c r="I364" s="186" t="str">
        <f>IF(G364=TRUE,I311,"")</f>
        <v/>
      </c>
      <c r="J364" s="186"/>
    </row>
    <row r="365" hidden="1">
      <c r="A365" s="184" t="s">
        <v>3335</v>
      </c>
      <c r="B365" s="25" t="s">
        <v>3287</v>
      </c>
      <c r="C365" s="133"/>
      <c r="D365" s="25" t="s">
        <v>64</v>
      </c>
      <c r="E365" s="25" t="s">
        <v>3237</v>
      </c>
      <c r="F365" s="121" t="b">
        <f t="shared" ref="F365:G365" si="195">IF(F311=TRUE,TRUE,FALSE)</f>
        <v>1</v>
      </c>
      <c r="G365" s="121" t="b">
        <f t="shared" si="195"/>
        <v>0</v>
      </c>
      <c r="H365" s="185"/>
      <c r="I365" s="186" t="str">
        <f>IF(G365=TRUE,I311,"")</f>
        <v/>
      </c>
      <c r="J365" s="186"/>
    </row>
    <row r="366" hidden="1">
      <c r="A366" s="187" t="s">
        <v>3336</v>
      </c>
      <c r="B366" s="30" t="s">
        <v>3287</v>
      </c>
      <c r="C366" s="134"/>
      <c r="D366" s="30" t="s">
        <v>64</v>
      </c>
      <c r="E366" s="30" t="s">
        <v>3237</v>
      </c>
      <c r="F366" s="118" t="b">
        <f t="shared" ref="F366:G366" si="196">IF(F311=TRUE,TRUE,FALSE)</f>
        <v>1</v>
      </c>
      <c r="G366" s="118" t="b">
        <f t="shared" si="196"/>
        <v>0</v>
      </c>
      <c r="H366" s="185"/>
      <c r="I366" s="186" t="str">
        <f>IF(G366=TRUE,I311,"")</f>
        <v/>
      </c>
      <c r="J366" s="186"/>
    </row>
    <row r="367" hidden="1">
      <c r="A367" s="184" t="s">
        <v>3337</v>
      </c>
      <c r="B367" s="25" t="s">
        <v>3287</v>
      </c>
      <c r="C367" s="133"/>
      <c r="D367" s="25" t="s">
        <v>64</v>
      </c>
      <c r="E367" s="25" t="s">
        <v>3237</v>
      </c>
      <c r="F367" s="121" t="b">
        <f t="shared" ref="F367:G367" si="197">IF(F311=TRUE,TRUE,FALSE)</f>
        <v>1</v>
      </c>
      <c r="G367" s="121" t="b">
        <f t="shared" si="197"/>
        <v>0</v>
      </c>
      <c r="H367" s="185"/>
      <c r="I367" s="186" t="str">
        <f>IF(G367=TRUE,I311,"")</f>
        <v/>
      </c>
      <c r="J367" s="186"/>
    </row>
    <row r="368" hidden="1">
      <c r="A368" s="187" t="s">
        <v>3338</v>
      </c>
      <c r="B368" s="30" t="s">
        <v>3339</v>
      </c>
      <c r="C368" s="30" t="s">
        <v>3340</v>
      </c>
      <c r="D368" s="30" t="s">
        <v>64</v>
      </c>
      <c r="E368" s="30" t="s">
        <v>3237</v>
      </c>
      <c r="F368" s="118" t="b">
        <f t="shared" ref="F368:G368" si="198">IF(F311=TRUE,TRUE,FALSE)</f>
        <v>1</v>
      </c>
      <c r="G368" s="118" t="b">
        <f t="shared" si="198"/>
        <v>0</v>
      </c>
      <c r="H368" s="185"/>
      <c r="I368" s="186" t="str">
        <f>IF(G368=TRUE,I311,"")</f>
        <v/>
      </c>
      <c r="J368" s="186"/>
    </row>
    <row r="369" hidden="1">
      <c r="A369" s="184" t="s">
        <v>3341</v>
      </c>
      <c r="B369" s="25" t="s">
        <v>3342</v>
      </c>
      <c r="C369" s="25" t="s">
        <v>3343</v>
      </c>
      <c r="D369" s="25" t="s">
        <v>64</v>
      </c>
      <c r="E369" s="25" t="s">
        <v>3237</v>
      </c>
      <c r="F369" s="121" t="b">
        <f t="shared" ref="F369:G369" si="199">IF(F311=TRUE,TRUE,FALSE)</f>
        <v>1</v>
      </c>
      <c r="G369" s="121" t="b">
        <f t="shared" si="199"/>
        <v>0</v>
      </c>
      <c r="H369" s="185"/>
      <c r="I369" s="186" t="str">
        <f>IF(G369=TRUE,I311,"")</f>
        <v/>
      </c>
      <c r="J369" s="186"/>
    </row>
    <row r="370" hidden="1">
      <c r="A370" s="187" t="s">
        <v>3344</v>
      </c>
      <c r="B370" s="30" t="s">
        <v>3342</v>
      </c>
      <c r="C370" s="134"/>
      <c r="D370" s="30" t="s">
        <v>64</v>
      </c>
      <c r="E370" s="30" t="s">
        <v>3237</v>
      </c>
      <c r="F370" s="118" t="b">
        <f t="shared" ref="F370:G370" si="200">IF(F311=TRUE,TRUE,FALSE)</f>
        <v>1</v>
      </c>
      <c r="G370" s="118" t="b">
        <f t="shared" si="200"/>
        <v>0</v>
      </c>
      <c r="H370" s="185"/>
      <c r="I370" s="186" t="str">
        <f>IF(G370=TRUE,I311,"")</f>
        <v/>
      </c>
      <c r="J370" s="186"/>
    </row>
    <row r="371" hidden="1">
      <c r="A371" s="184" t="s">
        <v>3345</v>
      </c>
      <c r="B371" s="25" t="s">
        <v>3342</v>
      </c>
      <c r="C371" s="133"/>
      <c r="D371" s="25" t="s">
        <v>64</v>
      </c>
      <c r="E371" s="25" t="s">
        <v>3237</v>
      </c>
      <c r="F371" s="121" t="b">
        <f t="shared" ref="F371:G371" si="201">IF(F311=TRUE,TRUE,FALSE)</f>
        <v>1</v>
      </c>
      <c r="G371" s="121" t="b">
        <f t="shared" si="201"/>
        <v>0</v>
      </c>
      <c r="H371" s="185"/>
      <c r="I371" s="186" t="str">
        <f>IF(G371=TRUE,I311,"")</f>
        <v/>
      </c>
      <c r="J371" s="186"/>
    </row>
    <row r="372" hidden="1">
      <c r="A372" s="187" t="s">
        <v>3346</v>
      </c>
      <c r="B372" s="30" t="s">
        <v>3342</v>
      </c>
      <c r="C372" s="134"/>
      <c r="D372" s="30" t="s">
        <v>64</v>
      </c>
      <c r="E372" s="30" t="s">
        <v>3237</v>
      </c>
      <c r="F372" s="118" t="b">
        <f t="shared" ref="F372:G372" si="202">IF(F311=TRUE,TRUE,FALSE)</f>
        <v>1</v>
      </c>
      <c r="G372" s="118" t="b">
        <f t="shared" si="202"/>
        <v>0</v>
      </c>
      <c r="H372" s="185"/>
      <c r="I372" s="186" t="str">
        <f>IF(G372=TRUE,I311,"")</f>
        <v/>
      </c>
      <c r="J372" s="186"/>
    </row>
    <row r="373" hidden="1">
      <c r="A373" s="184" t="s">
        <v>3347</v>
      </c>
      <c r="B373" s="25" t="s">
        <v>3342</v>
      </c>
      <c r="C373" s="133"/>
      <c r="D373" s="25" t="s">
        <v>64</v>
      </c>
      <c r="E373" s="25" t="s">
        <v>3237</v>
      </c>
      <c r="F373" s="121" t="b">
        <f t="shared" ref="F373:G373" si="203">IF(F311=TRUE,TRUE,FALSE)</f>
        <v>1</v>
      </c>
      <c r="G373" s="121" t="b">
        <f t="shared" si="203"/>
        <v>0</v>
      </c>
      <c r="H373" s="185"/>
      <c r="I373" s="186" t="str">
        <f>IF(G373=TRUE,I311,"")</f>
        <v/>
      </c>
      <c r="J373" s="186"/>
    </row>
    <row r="374" hidden="1">
      <c r="A374" s="187" t="s">
        <v>3348</v>
      </c>
      <c r="B374" s="30" t="s">
        <v>3342</v>
      </c>
      <c r="C374" s="134"/>
      <c r="D374" s="30" t="s">
        <v>64</v>
      </c>
      <c r="E374" s="30" t="s">
        <v>3237</v>
      </c>
      <c r="F374" s="118" t="b">
        <f t="shared" ref="F374:G374" si="204">IF(F311=TRUE,TRUE,FALSE)</f>
        <v>1</v>
      </c>
      <c r="G374" s="118" t="b">
        <f t="shared" si="204"/>
        <v>0</v>
      </c>
      <c r="H374" s="185"/>
      <c r="I374" s="186" t="str">
        <f>IF(G374=TRUE,I311,"")</f>
        <v/>
      </c>
      <c r="J374" s="186"/>
    </row>
    <row r="375" hidden="1">
      <c r="A375" s="184" t="s">
        <v>3349</v>
      </c>
      <c r="B375" s="25" t="s">
        <v>3342</v>
      </c>
      <c r="C375" s="133"/>
      <c r="D375" s="25" t="s">
        <v>64</v>
      </c>
      <c r="E375" s="25" t="s">
        <v>3237</v>
      </c>
      <c r="F375" s="121" t="b">
        <f t="shared" ref="F375:G375" si="205">IF(F311=TRUE,TRUE,FALSE)</f>
        <v>1</v>
      </c>
      <c r="G375" s="121" t="b">
        <f t="shared" si="205"/>
        <v>0</v>
      </c>
      <c r="H375" s="185"/>
      <c r="I375" s="186" t="str">
        <f>IF(G375=TRUE,I311,"")</f>
        <v/>
      </c>
      <c r="J375" s="186"/>
    </row>
    <row r="376" hidden="1">
      <c r="A376" s="187" t="s">
        <v>3350</v>
      </c>
      <c r="B376" s="30" t="s">
        <v>3342</v>
      </c>
      <c r="C376" s="134"/>
      <c r="D376" s="30" t="s">
        <v>64</v>
      </c>
      <c r="E376" s="30" t="s">
        <v>3237</v>
      </c>
      <c r="F376" s="118" t="b">
        <f t="shared" ref="F376:G376" si="206">IF(F311=TRUE,TRUE,FALSE)</f>
        <v>1</v>
      </c>
      <c r="G376" s="118" t="b">
        <f t="shared" si="206"/>
        <v>0</v>
      </c>
      <c r="H376" s="185"/>
      <c r="I376" s="186" t="str">
        <f>IF(G376=TRUE,I311,"")</f>
        <v/>
      </c>
      <c r="J376" s="186"/>
    </row>
    <row r="377" hidden="1">
      <c r="A377" s="184" t="s">
        <v>3351</v>
      </c>
      <c r="B377" s="25" t="s">
        <v>3342</v>
      </c>
      <c r="C377" s="133"/>
      <c r="D377" s="25" t="s">
        <v>64</v>
      </c>
      <c r="E377" s="25" t="s">
        <v>3237</v>
      </c>
      <c r="F377" s="121" t="b">
        <f t="shared" ref="F377:G377" si="207">IF(F311=TRUE,TRUE,FALSE)</f>
        <v>1</v>
      </c>
      <c r="G377" s="121" t="b">
        <f t="shared" si="207"/>
        <v>0</v>
      </c>
      <c r="H377" s="185"/>
      <c r="I377" s="186" t="str">
        <f>IF(G377=TRUE,I311,"")</f>
        <v/>
      </c>
      <c r="J377" s="186"/>
    </row>
    <row r="378" hidden="1">
      <c r="A378" s="187" t="s">
        <v>3352</v>
      </c>
      <c r="B378" s="30" t="s">
        <v>3342</v>
      </c>
      <c r="C378" s="134"/>
      <c r="D378" s="30" t="s">
        <v>64</v>
      </c>
      <c r="E378" s="30" t="s">
        <v>3237</v>
      </c>
      <c r="F378" s="118" t="b">
        <f t="shared" ref="F378:G378" si="208">IF(F311=TRUE,TRUE,FALSE)</f>
        <v>1</v>
      </c>
      <c r="G378" s="118" t="b">
        <f t="shared" si="208"/>
        <v>0</v>
      </c>
      <c r="H378" s="185"/>
      <c r="I378" s="186" t="str">
        <f>IF(G378=TRUE,I311,"")</f>
        <v/>
      </c>
      <c r="J378" s="186"/>
    </row>
    <row r="379" hidden="1">
      <c r="A379" s="184" t="s">
        <v>3353</v>
      </c>
      <c r="B379" s="25" t="s">
        <v>3342</v>
      </c>
      <c r="C379" s="133"/>
      <c r="D379" s="25" t="s">
        <v>64</v>
      </c>
      <c r="E379" s="25" t="s">
        <v>3237</v>
      </c>
      <c r="F379" s="121" t="b">
        <f t="shared" ref="F379:G379" si="209">IF(F311=TRUE,TRUE,FALSE)</f>
        <v>1</v>
      </c>
      <c r="G379" s="121" t="b">
        <f t="shared" si="209"/>
        <v>0</v>
      </c>
      <c r="H379" s="185"/>
      <c r="I379" s="186" t="str">
        <f>IF(G379=TRUE,I311,"")</f>
        <v/>
      </c>
      <c r="J379" s="186"/>
    </row>
    <row r="380" hidden="1">
      <c r="A380" s="187" t="s">
        <v>3354</v>
      </c>
      <c r="B380" s="30" t="s">
        <v>3342</v>
      </c>
      <c r="C380" s="134"/>
      <c r="D380" s="30" t="s">
        <v>64</v>
      </c>
      <c r="E380" s="30" t="s">
        <v>3237</v>
      </c>
      <c r="F380" s="118" t="b">
        <f t="shared" ref="F380:G380" si="210">IF(F311=TRUE,TRUE,FALSE)</f>
        <v>1</v>
      </c>
      <c r="G380" s="118" t="b">
        <f t="shared" si="210"/>
        <v>0</v>
      </c>
      <c r="H380" s="185"/>
      <c r="I380" s="186" t="str">
        <f>IF(G380=TRUE,I311,"")</f>
        <v/>
      </c>
      <c r="J380" s="186"/>
    </row>
    <row r="381" hidden="1">
      <c r="A381" s="184" t="s">
        <v>3355</v>
      </c>
      <c r="B381" s="25" t="s">
        <v>3356</v>
      </c>
      <c r="C381" s="25" t="s">
        <v>3357</v>
      </c>
      <c r="D381" s="25" t="s">
        <v>64</v>
      </c>
      <c r="E381" s="25" t="s">
        <v>3237</v>
      </c>
      <c r="F381" s="121" t="b">
        <f t="shared" ref="F381:G381" si="211">IF(F311=TRUE,TRUE,FALSE)</f>
        <v>1</v>
      </c>
      <c r="G381" s="121" t="b">
        <f t="shared" si="211"/>
        <v>0</v>
      </c>
      <c r="H381" s="185"/>
      <c r="I381" s="186" t="str">
        <f>IF(G381=TRUE,I311,"")</f>
        <v/>
      </c>
      <c r="J381" s="186"/>
    </row>
    <row r="382" hidden="1">
      <c r="A382" s="187" t="s">
        <v>3358</v>
      </c>
      <c r="B382" s="30" t="s">
        <v>3359</v>
      </c>
      <c r="C382" s="30" t="s">
        <v>3360</v>
      </c>
      <c r="D382" s="30" t="s">
        <v>64</v>
      </c>
      <c r="E382" s="30" t="s">
        <v>3237</v>
      </c>
      <c r="F382" s="118" t="b">
        <f t="shared" ref="F382:G382" si="212">IF(F311=TRUE,TRUE,FALSE)</f>
        <v>1</v>
      </c>
      <c r="G382" s="118" t="b">
        <f t="shared" si="212"/>
        <v>0</v>
      </c>
      <c r="H382" s="185"/>
      <c r="I382" s="186" t="str">
        <f>IF(G382=TRUE,I311,"")</f>
        <v/>
      </c>
      <c r="J382" s="186"/>
    </row>
    <row r="383" hidden="1">
      <c r="A383" s="184" t="s">
        <v>3361</v>
      </c>
      <c r="B383" s="25" t="s">
        <v>3359</v>
      </c>
      <c r="C383" s="133"/>
      <c r="D383" s="25" t="s">
        <v>64</v>
      </c>
      <c r="E383" s="25" t="s">
        <v>3237</v>
      </c>
      <c r="F383" s="121" t="b">
        <f t="shared" ref="F383:G383" si="213">IF(F311=TRUE,TRUE,FALSE)</f>
        <v>1</v>
      </c>
      <c r="G383" s="121" t="b">
        <f t="shared" si="213"/>
        <v>0</v>
      </c>
      <c r="H383" s="185"/>
      <c r="I383" s="186" t="str">
        <f>IF(G383=TRUE,I311,"")</f>
        <v/>
      </c>
      <c r="J383" s="186"/>
    </row>
    <row r="384" hidden="1">
      <c r="A384" s="187" t="s">
        <v>3362</v>
      </c>
      <c r="B384" s="30" t="s">
        <v>3359</v>
      </c>
      <c r="C384" s="134"/>
      <c r="D384" s="30" t="s">
        <v>64</v>
      </c>
      <c r="E384" s="30" t="s">
        <v>3237</v>
      </c>
      <c r="F384" s="118" t="b">
        <f t="shared" ref="F384:G384" si="214">IF(F311=TRUE,TRUE,FALSE)</f>
        <v>1</v>
      </c>
      <c r="G384" s="118" t="b">
        <f t="shared" si="214"/>
        <v>0</v>
      </c>
      <c r="H384" s="185"/>
      <c r="I384" s="186" t="str">
        <f>IF(G384=TRUE,I311,"")</f>
        <v/>
      </c>
      <c r="J384" s="186"/>
    </row>
    <row r="385" hidden="1">
      <c r="A385" s="184" t="s">
        <v>3363</v>
      </c>
      <c r="B385" s="25" t="s">
        <v>3359</v>
      </c>
      <c r="C385" s="133"/>
      <c r="D385" s="25" t="s">
        <v>64</v>
      </c>
      <c r="E385" s="25" t="s">
        <v>3237</v>
      </c>
      <c r="F385" s="121" t="b">
        <f t="shared" ref="F385:G385" si="215">IF(F311=TRUE,TRUE,FALSE)</f>
        <v>1</v>
      </c>
      <c r="G385" s="121" t="b">
        <f t="shared" si="215"/>
        <v>0</v>
      </c>
      <c r="H385" s="185"/>
      <c r="I385" s="186" t="str">
        <f>IF(G385=TRUE,I311,"")</f>
        <v/>
      </c>
      <c r="J385" s="186"/>
    </row>
    <row r="386" hidden="1">
      <c r="A386" s="187" t="s">
        <v>3364</v>
      </c>
      <c r="B386" s="30" t="s">
        <v>3359</v>
      </c>
      <c r="C386" s="134"/>
      <c r="D386" s="30" t="s">
        <v>64</v>
      </c>
      <c r="E386" s="30" t="s">
        <v>3237</v>
      </c>
      <c r="F386" s="118" t="b">
        <f t="shared" ref="F386:G386" si="216">IF(F311=TRUE,TRUE,FALSE)</f>
        <v>1</v>
      </c>
      <c r="G386" s="118" t="b">
        <f t="shared" si="216"/>
        <v>0</v>
      </c>
      <c r="H386" s="185"/>
      <c r="I386" s="186" t="str">
        <f>IF(G386=TRUE,I311,"")</f>
        <v/>
      </c>
      <c r="J386" s="186"/>
    </row>
    <row r="387" hidden="1">
      <c r="A387" s="184" t="s">
        <v>3365</v>
      </c>
      <c r="B387" s="25" t="s">
        <v>3359</v>
      </c>
      <c r="C387" s="133"/>
      <c r="D387" s="25" t="s">
        <v>64</v>
      </c>
      <c r="E387" s="25" t="s">
        <v>3237</v>
      </c>
      <c r="F387" s="121" t="b">
        <f t="shared" ref="F387:G387" si="217">IF(F311=TRUE,TRUE,FALSE)</f>
        <v>1</v>
      </c>
      <c r="G387" s="121" t="b">
        <f t="shared" si="217"/>
        <v>0</v>
      </c>
      <c r="H387" s="185"/>
      <c r="I387" s="186" t="str">
        <f>IF(G387=TRUE,I311,"")</f>
        <v/>
      </c>
      <c r="J387" s="186"/>
    </row>
    <row r="388" hidden="1">
      <c r="A388" s="187" t="s">
        <v>3366</v>
      </c>
      <c r="B388" s="30" t="s">
        <v>3359</v>
      </c>
      <c r="C388" s="134"/>
      <c r="D388" s="30" t="s">
        <v>64</v>
      </c>
      <c r="E388" s="30" t="s">
        <v>3237</v>
      </c>
      <c r="F388" s="118" t="b">
        <f t="shared" ref="F388:G388" si="218">IF(F311=TRUE,TRUE,FALSE)</f>
        <v>1</v>
      </c>
      <c r="G388" s="118" t="b">
        <f t="shared" si="218"/>
        <v>0</v>
      </c>
      <c r="H388" s="185"/>
      <c r="I388" s="186" t="str">
        <f>IF(G388=TRUE,I311,"")</f>
        <v/>
      </c>
      <c r="J388" s="186"/>
    </row>
    <row r="389" hidden="1">
      <c r="A389" s="184" t="s">
        <v>3367</v>
      </c>
      <c r="B389" s="25" t="s">
        <v>3368</v>
      </c>
      <c r="C389" s="25" t="s">
        <v>3369</v>
      </c>
      <c r="D389" s="25" t="s">
        <v>64</v>
      </c>
      <c r="E389" s="25" t="s">
        <v>3237</v>
      </c>
      <c r="F389" s="121" t="b">
        <f t="shared" ref="F389:G389" si="219">IF(F311=TRUE,TRUE,FALSE)</f>
        <v>1</v>
      </c>
      <c r="G389" s="121" t="b">
        <f t="shared" si="219"/>
        <v>0</v>
      </c>
      <c r="H389" s="185"/>
      <c r="I389" s="186" t="str">
        <f>IF(G389=TRUE,I311,"")</f>
        <v/>
      </c>
      <c r="J389" s="186"/>
    </row>
    <row r="390" hidden="1">
      <c r="A390" s="187" t="s">
        <v>3370</v>
      </c>
      <c r="B390" s="30" t="s">
        <v>3371</v>
      </c>
      <c r="C390" s="30" t="s">
        <v>3372</v>
      </c>
      <c r="D390" s="30" t="s">
        <v>64</v>
      </c>
      <c r="E390" s="30" t="s">
        <v>3237</v>
      </c>
      <c r="F390" s="118" t="b">
        <f t="shared" ref="F390:G390" si="220">IF(F311=TRUE,TRUE,FALSE)</f>
        <v>1</v>
      </c>
      <c r="G390" s="118" t="b">
        <f t="shared" si="220"/>
        <v>0</v>
      </c>
      <c r="H390" s="185"/>
      <c r="I390" s="186" t="str">
        <f>IF(G390=TRUE,I311,"")</f>
        <v/>
      </c>
      <c r="J390" s="186"/>
    </row>
    <row r="391" hidden="1">
      <c r="A391" s="184" t="s">
        <v>3373</v>
      </c>
      <c r="B391" s="25" t="s">
        <v>3374</v>
      </c>
      <c r="C391" s="25" t="s">
        <v>3375</v>
      </c>
      <c r="D391" s="25" t="s">
        <v>64</v>
      </c>
      <c r="E391" s="25" t="s">
        <v>3237</v>
      </c>
      <c r="F391" s="121" t="b">
        <f t="shared" ref="F391:G391" si="221">IF(F311=TRUE,TRUE,FALSE)</f>
        <v>1</v>
      </c>
      <c r="G391" s="121" t="b">
        <f t="shared" si="221"/>
        <v>0</v>
      </c>
      <c r="H391" s="185"/>
      <c r="I391" s="186" t="str">
        <f>IF(G391=TRUE,I311,"")</f>
        <v/>
      </c>
      <c r="J391" s="186"/>
    </row>
    <row r="392" hidden="1">
      <c r="A392" s="187" t="s">
        <v>3376</v>
      </c>
      <c r="B392" s="30" t="s">
        <v>3377</v>
      </c>
      <c r="C392" s="30" t="s">
        <v>3378</v>
      </c>
      <c r="D392" s="30" t="s">
        <v>64</v>
      </c>
      <c r="E392" s="30" t="s">
        <v>3237</v>
      </c>
      <c r="F392" s="118" t="b">
        <f t="shared" ref="F392:G392" si="222">IF(F311=TRUE,TRUE,FALSE)</f>
        <v>1</v>
      </c>
      <c r="G392" s="118" t="b">
        <f t="shared" si="222"/>
        <v>0</v>
      </c>
      <c r="H392" s="185"/>
      <c r="I392" s="186" t="str">
        <f>IF(G392=TRUE,I311,"")</f>
        <v/>
      </c>
      <c r="J392" s="186"/>
    </row>
    <row r="393" hidden="1">
      <c r="A393" s="184" t="s">
        <v>3379</v>
      </c>
      <c r="B393" s="25" t="s">
        <v>3377</v>
      </c>
      <c r="C393" s="133"/>
      <c r="D393" s="25" t="s">
        <v>64</v>
      </c>
      <c r="E393" s="25" t="s">
        <v>3237</v>
      </c>
      <c r="F393" s="121" t="b">
        <f t="shared" ref="F393:G393" si="223">IF(F311=TRUE,TRUE,FALSE)</f>
        <v>1</v>
      </c>
      <c r="G393" s="121" t="b">
        <f t="shared" si="223"/>
        <v>0</v>
      </c>
      <c r="H393" s="185"/>
      <c r="I393" s="186" t="str">
        <f>IF(G393=TRUE,I311,"")</f>
        <v/>
      </c>
      <c r="J393" s="186"/>
    </row>
    <row r="394" hidden="1">
      <c r="A394" s="187" t="s">
        <v>3380</v>
      </c>
      <c r="B394" s="30" t="s">
        <v>3377</v>
      </c>
      <c r="C394" s="134"/>
      <c r="D394" s="30" t="s">
        <v>64</v>
      </c>
      <c r="E394" s="30" t="s">
        <v>3237</v>
      </c>
      <c r="F394" s="118" t="b">
        <f t="shared" ref="F394:G394" si="224">IF(F311=TRUE,TRUE,FALSE)</f>
        <v>1</v>
      </c>
      <c r="G394" s="118" t="b">
        <f t="shared" si="224"/>
        <v>0</v>
      </c>
      <c r="H394" s="185"/>
      <c r="I394" s="186" t="str">
        <f>IF(G394=TRUE,I311,"")</f>
        <v/>
      </c>
      <c r="J394" s="186"/>
    </row>
    <row r="395" hidden="1">
      <c r="A395" s="184" t="s">
        <v>3373</v>
      </c>
      <c r="B395" s="25" t="s">
        <v>3381</v>
      </c>
      <c r="C395" s="25" t="s">
        <v>3382</v>
      </c>
      <c r="D395" s="25" t="s">
        <v>64</v>
      </c>
      <c r="E395" s="25" t="s">
        <v>3237</v>
      </c>
      <c r="F395" s="121" t="b">
        <f t="shared" ref="F395:G395" si="225">IF(F311=TRUE,TRUE,FALSE)</f>
        <v>1</v>
      </c>
      <c r="G395" s="121" t="b">
        <f t="shared" si="225"/>
        <v>0</v>
      </c>
      <c r="H395" s="185"/>
      <c r="I395" s="186" t="str">
        <f>IF(G395=TRUE,I311,"")</f>
        <v/>
      </c>
      <c r="J395" s="186"/>
    </row>
    <row r="396" hidden="1">
      <c r="A396" s="181" t="s">
        <v>3383</v>
      </c>
      <c r="B396" s="179"/>
      <c r="C396" s="179"/>
      <c r="D396" s="179"/>
      <c r="E396" s="180"/>
      <c r="F396" s="115" t="b">
        <v>1</v>
      </c>
      <c r="G396" s="115" t="b">
        <v>0</v>
      </c>
      <c r="H396" s="155"/>
      <c r="I396" s="116"/>
      <c r="J396" s="116"/>
    </row>
    <row r="397" hidden="1">
      <c r="A397" s="187" t="s">
        <v>3384</v>
      </c>
      <c r="B397" s="30" t="s">
        <v>3385</v>
      </c>
      <c r="C397" s="30" t="s">
        <v>3386</v>
      </c>
      <c r="D397" s="30" t="s">
        <v>64</v>
      </c>
      <c r="E397" s="30" t="s">
        <v>3237</v>
      </c>
      <c r="F397" s="118" t="b">
        <f t="shared" ref="F397:G397" si="226">IF(F396=TRUE,TRUE,FALSE)</f>
        <v>1</v>
      </c>
      <c r="G397" s="118" t="b">
        <f t="shared" si="226"/>
        <v>0</v>
      </c>
      <c r="H397" s="185"/>
      <c r="I397" s="186" t="str">
        <f>IF(G397=TRUE,I396,"")</f>
        <v/>
      </c>
      <c r="J397" s="186"/>
    </row>
    <row r="398" hidden="1">
      <c r="A398" s="184" t="s">
        <v>3387</v>
      </c>
      <c r="B398" s="25" t="s">
        <v>3388</v>
      </c>
      <c r="C398" s="25" t="s">
        <v>3389</v>
      </c>
      <c r="D398" s="25" t="s">
        <v>64</v>
      </c>
      <c r="E398" s="25" t="s">
        <v>3237</v>
      </c>
      <c r="F398" s="121" t="b">
        <f t="shared" ref="F398:G398" si="227">IF(F396=TRUE,TRUE,FALSE)</f>
        <v>1</v>
      </c>
      <c r="G398" s="121" t="b">
        <f t="shared" si="227"/>
        <v>0</v>
      </c>
      <c r="H398" s="185"/>
      <c r="I398" s="186" t="str">
        <f>IF(G398=TRUE,I396,"")</f>
        <v/>
      </c>
      <c r="J398" s="186"/>
    </row>
    <row r="399" hidden="1">
      <c r="A399" s="187" t="s">
        <v>3390</v>
      </c>
      <c r="B399" s="30" t="s">
        <v>3388</v>
      </c>
      <c r="C399" s="134"/>
      <c r="D399" s="30" t="s">
        <v>64</v>
      </c>
      <c r="E399" s="30" t="s">
        <v>3237</v>
      </c>
      <c r="F399" s="118" t="b">
        <f t="shared" ref="F399:G399" si="228">IF(F396=TRUE,TRUE,FALSE)</f>
        <v>1</v>
      </c>
      <c r="G399" s="118" t="b">
        <f t="shared" si="228"/>
        <v>0</v>
      </c>
      <c r="H399" s="185"/>
      <c r="I399" s="186" t="str">
        <f>IF(G399=TRUE,I396,"")</f>
        <v/>
      </c>
      <c r="J399" s="186"/>
    </row>
    <row r="400" hidden="1">
      <c r="A400" s="184" t="s">
        <v>3391</v>
      </c>
      <c r="B400" s="25" t="s">
        <v>3388</v>
      </c>
      <c r="C400" s="133"/>
      <c r="D400" s="25" t="s">
        <v>64</v>
      </c>
      <c r="E400" s="25" t="s">
        <v>3237</v>
      </c>
      <c r="F400" s="121" t="b">
        <f t="shared" ref="F400:G400" si="229">IF(F396=TRUE,TRUE,FALSE)</f>
        <v>1</v>
      </c>
      <c r="G400" s="121" t="b">
        <f t="shared" si="229"/>
        <v>0</v>
      </c>
      <c r="H400" s="185"/>
      <c r="I400" s="186" t="str">
        <f>IF(G400=TRUE,I396,"")</f>
        <v/>
      </c>
      <c r="J400" s="186"/>
    </row>
    <row r="401" hidden="1">
      <c r="A401" s="187" t="s">
        <v>3392</v>
      </c>
      <c r="B401" s="30" t="s">
        <v>3388</v>
      </c>
      <c r="C401" s="134"/>
      <c r="D401" s="30" t="s">
        <v>64</v>
      </c>
      <c r="E401" s="30" t="s">
        <v>3237</v>
      </c>
      <c r="F401" s="118" t="b">
        <f t="shared" ref="F401:G401" si="230">IF(F396=TRUE,TRUE,FALSE)</f>
        <v>1</v>
      </c>
      <c r="G401" s="118" t="b">
        <f t="shared" si="230"/>
        <v>0</v>
      </c>
      <c r="H401" s="185"/>
      <c r="I401" s="186" t="str">
        <f>IF(G401=TRUE,I396,"")</f>
        <v/>
      </c>
      <c r="J401" s="186"/>
    </row>
    <row r="402" hidden="1">
      <c r="A402" s="184" t="s">
        <v>3323</v>
      </c>
      <c r="B402" s="25" t="s">
        <v>3388</v>
      </c>
      <c r="C402" s="133"/>
      <c r="D402" s="25" t="s">
        <v>64</v>
      </c>
      <c r="E402" s="25" t="s">
        <v>3237</v>
      </c>
      <c r="F402" s="121" t="b">
        <f t="shared" ref="F402:G402" si="231">IF(F396=TRUE,TRUE,FALSE)</f>
        <v>1</v>
      </c>
      <c r="G402" s="121" t="b">
        <f t="shared" si="231"/>
        <v>0</v>
      </c>
      <c r="H402" s="185"/>
      <c r="I402" s="186" t="str">
        <f>IF(G402=TRUE,I396,"")</f>
        <v/>
      </c>
      <c r="J402" s="186"/>
    </row>
    <row r="403" hidden="1">
      <c r="A403" s="187" t="s">
        <v>3393</v>
      </c>
      <c r="B403" s="30" t="s">
        <v>3388</v>
      </c>
      <c r="C403" s="134"/>
      <c r="D403" s="30" t="s">
        <v>64</v>
      </c>
      <c r="E403" s="30" t="s">
        <v>3237</v>
      </c>
      <c r="F403" s="118" t="b">
        <f t="shared" ref="F403:G403" si="232">IF(F396=TRUE,TRUE,FALSE)</f>
        <v>1</v>
      </c>
      <c r="G403" s="118" t="b">
        <f t="shared" si="232"/>
        <v>0</v>
      </c>
      <c r="H403" s="185"/>
      <c r="I403" s="186" t="str">
        <f>IF(G403=TRUE,I396,"")</f>
        <v/>
      </c>
      <c r="J403" s="186"/>
    </row>
    <row r="404" hidden="1">
      <c r="A404" s="184" t="s">
        <v>3394</v>
      </c>
      <c r="B404" s="25" t="s">
        <v>3388</v>
      </c>
      <c r="C404" s="133"/>
      <c r="D404" s="25" t="s">
        <v>64</v>
      </c>
      <c r="E404" s="25" t="s">
        <v>3237</v>
      </c>
      <c r="F404" s="121" t="b">
        <f t="shared" ref="F404:G404" si="233">IF(F396=TRUE,TRUE,FALSE)</f>
        <v>1</v>
      </c>
      <c r="G404" s="121" t="b">
        <f t="shared" si="233"/>
        <v>0</v>
      </c>
      <c r="H404" s="185"/>
      <c r="I404" s="186" t="str">
        <f>IF(G404=TRUE,I396,"")</f>
        <v/>
      </c>
      <c r="J404" s="186"/>
    </row>
    <row r="405" hidden="1">
      <c r="A405" s="187" t="s">
        <v>3395</v>
      </c>
      <c r="B405" s="30" t="s">
        <v>3388</v>
      </c>
      <c r="C405" s="134"/>
      <c r="D405" s="30" t="s">
        <v>64</v>
      </c>
      <c r="E405" s="30" t="s">
        <v>3237</v>
      </c>
      <c r="F405" s="118" t="b">
        <f t="shared" ref="F405:G405" si="234">IF(F396=TRUE,TRUE,FALSE)</f>
        <v>1</v>
      </c>
      <c r="G405" s="118" t="b">
        <f t="shared" si="234"/>
        <v>0</v>
      </c>
      <c r="H405" s="185"/>
      <c r="I405" s="186" t="str">
        <f>IF(G405=TRUE,I396,"")</f>
        <v/>
      </c>
      <c r="J405" s="186"/>
    </row>
    <row r="406" hidden="1">
      <c r="A406" s="184" t="s">
        <v>3396</v>
      </c>
      <c r="B406" s="25" t="s">
        <v>3397</v>
      </c>
      <c r="C406" s="25" t="s">
        <v>3398</v>
      </c>
      <c r="D406" s="25" t="s">
        <v>64</v>
      </c>
      <c r="E406" s="25" t="s">
        <v>3237</v>
      </c>
      <c r="F406" s="121" t="b">
        <f t="shared" ref="F406:G406" si="235">IF(F396=TRUE,TRUE,FALSE)</f>
        <v>1</v>
      </c>
      <c r="G406" s="121" t="b">
        <f t="shared" si="235"/>
        <v>0</v>
      </c>
      <c r="H406" s="185"/>
      <c r="I406" s="186" t="str">
        <f>IF(G406=TRUE,I396,"")</f>
        <v/>
      </c>
      <c r="J406" s="186"/>
    </row>
    <row r="407" hidden="1">
      <c r="A407" s="187" t="s">
        <v>3399</v>
      </c>
      <c r="B407" s="30" t="s">
        <v>3397</v>
      </c>
      <c r="C407" s="134"/>
      <c r="D407" s="30" t="s">
        <v>64</v>
      </c>
      <c r="E407" s="30" t="s">
        <v>3237</v>
      </c>
      <c r="F407" s="118" t="b">
        <f t="shared" ref="F407:G407" si="236">IF(F396=TRUE,TRUE,FALSE)</f>
        <v>1</v>
      </c>
      <c r="G407" s="118" t="b">
        <f t="shared" si="236"/>
        <v>0</v>
      </c>
      <c r="H407" s="185"/>
      <c r="I407" s="186" t="str">
        <f>IF(G407=TRUE,I396,"")</f>
        <v/>
      </c>
      <c r="J407" s="186"/>
    </row>
    <row r="408" hidden="1">
      <c r="A408" s="184" t="s">
        <v>3400</v>
      </c>
      <c r="B408" s="25" t="s">
        <v>3397</v>
      </c>
      <c r="C408" s="133"/>
      <c r="D408" s="25" t="s">
        <v>64</v>
      </c>
      <c r="E408" s="25" t="s">
        <v>3237</v>
      </c>
      <c r="F408" s="121" t="b">
        <f t="shared" ref="F408:G408" si="237">IF(F396=TRUE,TRUE,FALSE)</f>
        <v>1</v>
      </c>
      <c r="G408" s="121" t="b">
        <f t="shared" si="237"/>
        <v>0</v>
      </c>
      <c r="H408" s="185"/>
      <c r="I408" s="186" t="str">
        <f>IF(G408=TRUE,I396,"")</f>
        <v/>
      </c>
      <c r="J408" s="186"/>
    </row>
    <row r="409" hidden="1">
      <c r="A409" s="187" t="s">
        <v>3401</v>
      </c>
      <c r="B409" s="30" t="s">
        <v>3397</v>
      </c>
      <c r="C409" s="134"/>
      <c r="D409" s="30" t="s">
        <v>64</v>
      </c>
      <c r="E409" s="30" t="s">
        <v>3237</v>
      </c>
      <c r="F409" s="118" t="b">
        <f t="shared" ref="F409:G409" si="238">IF(F396=TRUE,TRUE,FALSE)</f>
        <v>1</v>
      </c>
      <c r="G409" s="118" t="b">
        <f t="shared" si="238"/>
        <v>0</v>
      </c>
      <c r="H409" s="185"/>
      <c r="I409" s="186" t="str">
        <f>IF(G409=TRUE,I396,"")</f>
        <v/>
      </c>
      <c r="J409" s="186"/>
    </row>
    <row r="410" hidden="1">
      <c r="A410" s="184" t="s">
        <v>3402</v>
      </c>
      <c r="B410" s="25" t="s">
        <v>3403</v>
      </c>
      <c r="C410" s="25" t="s">
        <v>3404</v>
      </c>
      <c r="D410" s="25" t="s">
        <v>64</v>
      </c>
      <c r="E410" s="25" t="s">
        <v>3237</v>
      </c>
      <c r="F410" s="121" t="b">
        <f t="shared" ref="F410:G410" si="239">IF(F396=TRUE,TRUE,FALSE)</f>
        <v>1</v>
      </c>
      <c r="G410" s="121" t="b">
        <f t="shared" si="239"/>
        <v>0</v>
      </c>
      <c r="H410" s="185"/>
      <c r="I410" s="186" t="str">
        <f>IF(G410=TRUE,I396,"")</f>
        <v/>
      </c>
      <c r="J410" s="186"/>
    </row>
    <row r="411" hidden="1">
      <c r="A411" s="187" t="s">
        <v>3405</v>
      </c>
      <c r="B411" s="30" t="s">
        <v>3403</v>
      </c>
      <c r="C411" s="134"/>
      <c r="D411" s="30" t="s">
        <v>64</v>
      </c>
      <c r="E411" s="30" t="s">
        <v>3237</v>
      </c>
      <c r="F411" s="118" t="b">
        <f t="shared" ref="F411:G411" si="240">IF(F396=TRUE,TRUE,FALSE)</f>
        <v>1</v>
      </c>
      <c r="G411" s="118" t="b">
        <f t="shared" si="240"/>
        <v>0</v>
      </c>
      <c r="H411" s="185"/>
      <c r="I411" s="186" t="str">
        <f>IF(G411=TRUE,I396,"")</f>
        <v/>
      </c>
      <c r="J411" s="186"/>
    </row>
    <row r="412" hidden="1">
      <c r="A412" s="184" t="s">
        <v>3406</v>
      </c>
      <c r="B412" s="25" t="s">
        <v>3403</v>
      </c>
      <c r="C412" s="133"/>
      <c r="D412" s="25" t="s">
        <v>64</v>
      </c>
      <c r="E412" s="25" t="s">
        <v>3237</v>
      </c>
      <c r="F412" s="121" t="b">
        <f t="shared" ref="F412:G412" si="241">IF(F396=TRUE,TRUE,FALSE)</f>
        <v>1</v>
      </c>
      <c r="G412" s="121" t="b">
        <f t="shared" si="241"/>
        <v>0</v>
      </c>
      <c r="H412" s="185"/>
      <c r="I412" s="186" t="str">
        <f>IF(G412=TRUE,I396,"")</f>
        <v/>
      </c>
      <c r="J412" s="186"/>
    </row>
    <row r="413" hidden="1">
      <c r="A413" s="187" t="s">
        <v>3407</v>
      </c>
      <c r="B413" s="30" t="s">
        <v>3403</v>
      </c>
      <c r="C413" s="134"/>
      <c r="D413" s="30" t="s">
        <v>64</v>
      </c>
      <c r="E413" s="30" t="s">
        <v>3237</v>
      </c>
      <c r="F413" s="118" t="b">
        <f t="shared" ref="F413:G413" si="242">IF(F396=TRUE,TRUE,FALSE)</f>
        <v>1</v>
      </c>
      <c r="G413" s="118" t="b">
        <f t="shared" si="242"/>
        <v>0</v>
      </c>
      <c r="H413" s="185"/>
      <c r="I413" s="186" t="str">
        <f>IF(G413=TRUE,I396,"")</f>
        <v/>
      </c>
      <c r="J413" s="186"/>
    </row>
    <row r="414" hidden="1">
      <c r="A414" s="184" t="s">
        <v>3408</v>
      </c>
      <c r="B414" s="25" t="s">
        <v>3403</v>
      </c>
      <c r="C414" s="133"/>
      <c r="D414" s="25" t="s">
        <v>64</v>
      </c>
      <c r="E414" s="25" t="s">
        <v>3237</v>
      </c>
      <c r="F414" s="121" t="b">
        <f t="shared" ref="F414:G414" si="243">IF(F396=TRUE,TRUE,FALSE)</f>
        <v>1</v>
      </c>
      <c r="G414" s="121" t="b">
        <f t="shared" si="243"/>
        <v>0</v>
      </c>
      <c r="H414" s="185"/>
      <c r="I414" s="186" t="str">
        <f>IF(G414=TRUE,I396,"")</f>
        <v/>
      </c>
      <c r="J414" s="186"/>
    </row>
    <row r="415" hidden="1">
      <c r="A415" s="181" t="s">
        <v>3409</v>
      </c>
      <c r="B415" s="179"/>
      <c r="C415" s="179"/>
      <c r="D415" s="179"/>
      <c r="E415" s="180"/>
      <c r="F415" s="115" t="b">
        <v>1</v>
      </c>
      <c r="G415" s="115" t="b">
        <v>0</v>
      </c>
      <c r="H415" s="155"/>
      <c r="I415" s="116"/>
      <c r="J415" s="116"/>
    </row>
    <row r="416" hidden="1">
      <c r="A416" s="187" t="s">
        <v>2769</v>
      </c>
      <c r="B416" s="30" t="s">
        <v>3410</v>
      </c>
      <c r="C416" s="30" t="s">
        <v>3411</v>
      </c>
      <c r="D416" s="30" t="s">
        <v>64</v>
      </c>
      <c r="E416" s="30" t="s">
        <v>3237</v>
      </c>
      <c r="F416" s="118" t="b">
        <f t="shared" ref="F416:G416" si="244">IF(F415=TRUE,TRUE,FALSE)</f>
        <v>1</v>
      </c>
      <c r="G416" s="118" t="b">
        <f t="shared" si="244"/>
        <v>0</v>
      </c>
      <c r="H416" s="185"/>
      <c r="I416" s="186" t="str">
        <f>IF(G416=TRUE,I415,"")</f>
        <v/>
      </c>
      <c r="J416" s="186"/>
    </row>
    <row r="417" hidden="1">
      <c r="A417" s="184" t="s">
        <v>3412</v>
      </c>
      <c r="B417" s="25" t="s">
        <v>3410</v>
      </c>
      <c r="C417" s="133"/>
      <c r="D417" s="25" t="s">
        <v>64</v>
      </c>
      <c r="E417" s="25" t="s">
        <v>3237</v>
      </c>
      <c r="F417" s="121" t="b">
        <f t="shared" ref="F417:G417" si="245">IF(F415=TRUE,TRUE,FALSE)</f>
        <v>1</v>
      </c>
      <c r="G417" s="121" t="b">
        <f t="shared" si="245"/>
        <v>0</v>
      </c>
      <c r="H417" s="185"/>
      <c r="I417" s="186" t="str">
        <f>IF(G417=TRUE,I415,"")</f>
        <v/>
      </c>
      <c r="J417" s="186"/>
    </row>
    <row r="418" hidden="1">
      <c r="A418" s="187" t="s">
        <v>3413</v>
      </c>
      <c r="B418" s="30" t="s">
        <v>3410</v>
      </c>
      <c r="C418" s="134"/>
      <c r="D418" s="30" t="s">
        <v>64</v>
      </c>
      <c r="E418" s="30" t="s">
        <v>3237</v>
      </c>
      <c r="F418" s="118" t="b">
        <f t="shared" ref="F418:G418" si="246">IF(F415=TRUE,TRUE,FALSE)</f>
        <v>1</v>
      </c>
      <c r="G418" s="118" t="b">
        <f t="shared" si="246"/>
        <v>0</v>
      </c>
      <c r="H418" s="185"/>
      <c r="I418" s="186" t="str">
        <f>IF(G418=TRUE,I415,"")</f>
        <v/>
      </c>
      <c r="J418" s="186"/>
    </row>
    <row r="419" hidden="1">
      <c r="A419" s="184" t="s">
        <v>3414</v>
      </c>
      <c r="B419" s="25" t="s">
        <v>3410</v>
      </c>
      <c r="C419" s="133"/>
      <c r="D419" s="25" t="s">
        <v>64</v>
      </c>
      <c r="E419" s="25" t="s">
        <v>3237</v>
      </c>
      <c r="F419" s="121" t="b">
        <f t="shared" ref="F419:G419" si="247">IF(F415=TRUE,TRUE,FALSE)</f>
        <v>1</v>
      </c>
      <c r="G419" s="121" t="b">
        <f t="shared" si="247"/>
        <v>0</v>
      </c>
      <c r="H419" s="185"/>
      <c r="I419" s="186" t="str">
        <f>IF(G419=TRUE,I415,"")</f>
        <v/>
      </c>
      <c r="J419" s="186"/>
    </row>
    <row r="420" hidden="1">
      <c r="A420" s="187" t="s">
        <v>3415</v>
      </c>
      <c r="B420" s="30" t="s">
        <v>3410</v>
      </c>
      <c r="C420" s="134"/>
      <c r="D420" s="30" t="s">
        <v>64</v>
      </c>
      <c r="E420" s="30" t="s">
        <v>3237</v>
      </c>
      <c r="F420" s="118" t="b">
        <f t="shared" ref="F420:G420" si="248">IF(F415=TRUE,TRUE,FALSE)</f>
        <v>1</v>
      </c>
      <c r="G420" s="118" t="b">
        <f t="shared" si="248"/>
        <v>0</v>
      </c>
      <c r="H420" s="185"/>
      <c r="I420" s="186" t="str">
        <f>IF(G420=TRUE,I415,"")</f>
        <v/>
      </c>
      <c r="J420" s="186"/>
    </row>
    <row r="421" hidden="1">
      <c r="A421" s="184" t="s">
        <v>3416</v>
      </c>
      <c r="B421" s="25" t="s">
        <v>3410</v>
      </c>
      <c r="C421" s="133"/>
      <c r="D421" s="25" t="s">
        <v>64</v>
      </c>
      <c r="E421" s="25" t="s">
        <v>3237</v>
      </c>
      <c r="F421" s="121" t="b">
        <f t="shared" ref="F421:G421" si="249">IF(F415=TRUE,TRUE,FALSE)</f>
        <v>1</v>
      </c>
      <c r="G421" s="121" t="b">
        <f t="shared" si="249"/>
        <v>0</v>
      </c>
      <c r="H421" s="185"/>
      <c r="I421" s="186" t="str">
        <f>IF(G421=TRUE,I415,"")</f>
        <v/>
      </c>
      <c r="J421" s="186"/>
    </row>
    <row r="422" hidden="1">
      <c r="A422" s="187" t="s">
        <v>3417</v>
      </c>
      <c r="B422" s="30" t="s">
        <v>3410</v>
      </c>
      <c r="C422" s="134"/>
      <c r="D422" s="30" t="s">
        <v>64</v>
      </c>
      <c r="E422" s="30" t="s">
        <v>3237</v>
      </c>
      <c r="F422" s="118" t="b">
        <f t="shared" ref="F422:G422" si="250">IF(F415=TRUE,TRUE,FALSE)</f>
        <v>1</v>
      </c>
      <c r="G422" s="118" t="b">
        <f t="shared" si="250"/>
        <v>0</v>
      </c>
      <c r="H422" s="185"/>
      <c r="I422" s="186" t="str">
        <f>IF(G422=TRUE,I415,"")</f>
        <v/>
      </c>
      <c r="J422" s="186"/>
    </row>
    <row r="423" hidden="1">
      <c r="A423" s="184" t="s">
        <v>3418</v>
      </c>
      <c r="B423" s="25" t="s">
        <v>3410</v>
      </c>
      <c r="C423" s="133"/>
      <c r="D423" s="25" t="s">
        <v>64</v>
      </c>
      <c r="E423" s="25" t="s">
        <v>3237</v>
      </c>
      <c r="F423" s="121" t="b">
        <f t="shared" ref="F423:G423" si="251">IF(F415=TRUE,TRUE,FALSE)</f>
        <v>1</v>
      </c>
      <c r="G423" s="121" t="b">
        <f t="shared" si="251"/>
        <v>0</v>
      </c>
      <c r="H423" s="185"/>
      <c r="I423" s="186" t="str">
        <f>IF(G423=TRUE,I415,"")</f>
        <v/>
      </c>
      <c r="J423" s="186"/>
    </row>
    <row r="424" hidden="1">
      <c r="A424" s="187" t="s">
        <v>3419</v>
      </c>
      <c r="B424" s="30" t="s">
        <v>3420</v>
      </c>
      <c r="C424" s="30" t="s">
        <v>3421</v>
      </c>
      <c r="D424" s="30" t="s">
        <v>64</v>
      </c>
      <c r="E424" s="30" t="s">
        <v>3237</v>
      </c>
      <c r="F424" s="118" t="b">
        <f t="shared" ref="F424:G424" si="252">IF(F415=TRUE,TRUE,FALSE)</f>
        <v>1</v>
      </c>
      <c r="G424" s="118" t="b">
        <f t="shared" si="252"/>
        <v>0</v>
      </c>
      <c r="H424" s="185"/>
      <c r="I424" s="186" t="str">
        <f>IF(G424=TRUE,I415,"")</f>
        <v/>
      </c>
      <c r="J424" s="186"/>
    </row>
    <row r="425" hidden="1">
      <c r="A425" s="184" t="s">
        <v>3422</v>
      </c>
      <c r="B425" s="25" t="s">
        <v>3420</v>
      </c>
      <c r="C425" s="133"/>
      <c r="D425" s="25" t="s">
        <v>64</v>
      </c>
      <c r="E425" s="25" t="s">
        <v>3237</v>
      </c>
      <c r="F425" s="121" t="b">
        <f t="shared" ref="F425:G425" si="253">IF(F415=TRUE,TRUE,FALSE)</f>
        <v>1</v>
      </c>
      <c r="G425" s="121" t="b">
        <f t="shared" si="253"/>
        <v>0</v>
      </c>
      <c r="H425" s="185"/>
      <c r="I425" s="186" t="str">
        <f>IF(G425=TRUE,I415,"")</f>
        <v/>
      </c>
      <c r="J425" s="186"/>
    </row>
    <row r="426" hidden="1">
      <c r="A426" s="187" t="s">
        <v>3423</v>
      </c>
      <c r="B426" s="30" t="s">
        <v>3424</v>
      </c>
      <c r="C426" s="30" t="s">
        <v>3425</v>
      </c>
      <c r="D426" s="30" t="s">
        <v>64</v>
      </c>
      <c r="E426" s="30" t="s">
        <v>3237</v>
      </c>
      <c r="F426" s="118" t="b">
        <f t="shared" ref="F426:G426" si="254">IF(F415=TRUE,TRUE,FALSE)</f>
        <v>1</v>
      </c>
      <c r="G426" s="118" t="b">
        <f t="shared" si="254"/>
        <v>0</v>
      </c>
      <c r="H426" s="185"/>
      <c r="I426" s="186" t="str">
        <f>IF(G426=TRUE,I415,"")</f>
        <v/>
      </c>
      <c r="J426" s="186"/>
    </row>
    <row r="427" hidden="1">
      <c r="A427" s="184" t="s">
        <v>3426</v>
      </c>
      <c r="B427" s="25" t="s">
        <v>3427</v>
      </c>
      <c r="C427" s="25" t="s">
        <v>3428</v>
      </c>
      <c r="D427" s="25" t="s">
        <v>64</v>
      </c>
      <c r="E427" s="25" t="s">
        <v>3237</v>
      </c>
      <c r="F427" s="121" t="b">
        <f t="shared" ref="F427:G427" si="255">IF(F415=TRUE,TRUE,FALSE)</f>
        <v>1</v>
      </c>
      <c r="G427" s="121" t="b">
        <f t="shared" si="255"/>
        <v>0</v>
      </c>
      <c r="H427" s="185"/>
      <c r="I427" s="186" t="str">
        <f>IF(G427=TRUE,I415,"")</f>
        <v/>
      </c>
      <c r="J427" s="186"/>
    </row>
    <row r="428" hidden="1">
      <c r="A428" s="187" t="s">
        <v>3429</v>
      </c>
      <c r="B428" s="30" t="s">
        <v>3427</v>
      </c>
      <c r="C428" s="134"/>
      <c r="D428" s="30" t="s">
        <v>64</v>
      </c>
      <c r="E428" s="30" t="s">
        <v>3237</v>
      </c>
      <c r="F428" s="118" t="b">
        <f t="shared" ref="F428:G428" si="256">IF(F415=TRUE,TRUE,FALSE)</f>
        <v>1</v>
      </c>
      <c r="G428" s="118" t="b">
        <f t="shared" si="256"/>
        <v>0</v>
      </c>
      <c r="H428" s="185"/>
      <c r="I428" s="186" t="str">
        <f>IF(G428=TRUE,I415,"")</f>
        <v/>
      </c>
      <c r="J428" s="186"/>
    </row>
    <row r="429" hidden="1">
      <c r="A429" s="184" t="s">
        <v>3430</v>
      </c>
      <c r="B429" s="25" t="s">
        <v>3427</v>
      </c>
      <c r="C429" s="133"/>
      <c r="D429" s="25" t="s">
        <v>64</v>
      </c>
      <c r="E429" s="25" t="s">
        <v>3237</v>
      </c>
      <c r="F429" s="121" t="b">
        <f t="shared" ref="F429:G429" si="257">IF(F415=TRUE,TRUE,FALSE)</f>
        <v>1</v>
      </c>
      <c r="G429" s="121" t="b">
        <f t="shared" si="257"/>
        <v>0</v>
      </c>
      <c r="H429" s="185"/>
      <c r="I429" s="186" t="str">
        <f>IF(G429=TRUE,I415,"")</f>
        <v/>
      </c>
      <c r="J429" s="186"/>
    </row>
    <row r="430" hidden="1">
      <c r="A430" s="187" t="s">
        <v>3431</v>
      </c>
      <c r="B430" s="30" t="s">
        <v>3427</v>
      </c>
      <c r="C430" s="134"/>
      <c r="D430" s="30" t="s">
        <v>64</v>
      </c>
      <c r="E430" s="30" t="s">
        <v>3237</v>
      </c>
      <c r="F430" s="118" t="b">
        <f t="shared" ref="F430:G430" si="258">IF(F415=TRUE,TRUE,FALSE)</f>
        <v>1</v>
      </c>
      <c r="G430" s="118" t="b">
        <f t="shared" si="258"/>
        <v>0</v>
      </c>
      <c r="H430" s="185"/>
      <c r="I430" s="186" t="str">
        <f>IF(G430=TRUE,I415,"")</f>
        <v/>
      </c>
      <c r="J430" s="186"/>
    </row>
    <row r="431" hidden="1">
      <c r="A431" s="184" t="s">
        <v>3432</v>
      </c>
      <c r="B431" s="25" t="s">
        <v>3427</v>
      </c>
      <c r="C431" s="133"/>
      <c r="D431" s="25" t="s">
        <v>64</v>
      </c>
      <c r="E431" s="25" t="s">
        <v>3237</v>
      </c>
      <c r="F431" s="121" t="b">
        <f t="shared" ref="F431:G431" si="259">IF(F415=TRUE,TRUE,FALSE)</f>
        <v>1</v>
      </c>
      <c r="G431" s="121" t="b">
        <f t="shared" si="259"/>
        <v>0</v>
      </c>
      <c r="H431" s="185"/>
      <c r="I431" s="186" t="str">
        <f>IF(G431=TRUE,I415,"")</f>
        <v/>
      </c>
      <c r="J431" s="186"/>
    </row>
    <row r="432" hidden="1">
      <c r="A432" s="187" t="s">
        <v>3433</v>
      </c>
      <c r="B432" s="30" t="s">
        <v>3427</v>
      </c>
      <c r="C432" s="134"/>
      <c r="D432" s="30" t="s">
        <v>64</v>
      </c>
      <c r="E432" s="30" t="s">
        <v>3237</v>
      </c>
      <c r="F432" s="118" t="b">
        <f t="shared" ref="F432:G432" si="260">IF(F415=TRUE,TRUE,FALSE)</f>
        <v>1</v>
      </c>
      <c r="G432" s="118" t="b">
        <f t="shared" si="260"/>
        <v>0</v>
      </c>
      <c r="H432" s="185"/>
      <c r="I432" s="186" t="str">
        <f>IF(G432=TRUE,I415,"")</f>
        <v/>
      </c>
      <c r="J432" s="186"/>
    </row>
    <row r="433" hidden="1">
      <c r="A433" s="181" t="s">
        <v>3434</v>
      </c>
      <c r="B433" s="179"/>
      <c r="C433" s="179"/>
      <c r="D433" s="179"/>
      <c r="E433" s="180"/>
      <c r="F433" s="115" t="b">
        <v>1</v>
      </c>
      <c r="G433" s="115" t="b">
        <v>0</v>
      </c>
      <c r="H433" s="155"/>
      <c r="I433" s="116"/>
      <c r="J433" s="116"/>
    </row>
    <row r="434" hidden="1">
      <c r="A434" s="184" t="s">
        <v>3435</v>
      </c>
      <c r="B434" s="25" t="s">
        <v>3436</v>
      </c>
      <c r="C434" s="25" t="s">
        <v>3437</v>
      </c>
      <c r="D434" s="25" t="s">
        <v>64</v>
      </c>
      <c r="E434" s="25" t="s">
        <v>3237</v>
      </c>
      <c r="F434" s="121" t="b">
        <f t="shared" ref="F434:G434" si="261">IF(F433=TRUE,TRUE,FALSE)</f>
        <v>1</v>
      </c>
      <c r="G434" s="121" t="b">
        <f t="shared" si="261"/>
        <v>0</v>
      </c>
      <c r="H434" s="185"/>
      <c r="I434" s="186" t="str">
        <f>IF(G434=TRUE,I433,"")</f>
        <v/>
      </c>
      <c r="J434" s="186"/>
    </row>
    <row r="435" hidden="1">
      <c r="A435" s="187" t="s">
        <v>3438</v>
      </c>
      <c r="B435" s="30" t="s">
        <v>3436</v>
      </c>
      <c r="C435" s="134"/>
      <c r="D435" s="30" t="s">
        <v>64</v>
      </c>
      <c r="E435" s="30" t="s">
        <v>3237</v>
      </c>
      <c r="F435" s="118" t="b">
        <f t="shared" ref="F435:G435" si="262">IF(F433=TRUE,TRUE,FALSE)</f>
        <v>1</v>
      </c>
      <c r="G435" s="118" t="b">
        <f t="shared" si="262"/>
        <v>0</v>
      </c>
      <c r="H435" s="185"/>
      <c r="I435" s="186" t="str">
        <f>IF(G435=TRUE,I433,"")</f>
        <v/>
      </c>
      <c r="J435" s="186"/>
    </row>
    <row r="436" hidden="1">
      <c r="A436" s="184" t="s">
        <v>3439</v>
      </c>
      <c r="B436" s="25" t="s">
        <v>3436</v>
      </c>
      <c r="C436" s="133"/>
      <c r="D436" s="25" t="s">
        <v>64</v>
      </c>
      <c r="E436" s="25" t="s">
        <v>3237</v>
      </c>
      <c r="F436" s="121" t="b">
        <f t="shared" ref="F436:G436" si="263">IF(F433=TRUE,TRUE,FALSE)</f>
        <v>1</v>
      </c>
      <c r="G436" s="121" t="b">
        <f t="shared" si="263"/>
        <v>0</v>
      </c>
      <c r="H436" s="185"/>
      <c r="I436" s="186" t="str">
        <f>IF(G436=TRUE,I433,"")</f>
        <v/>
      </c>
      <c r="J436" s="186"/>
    </row>
    <row r="437" hidden="1">
      <c r="A437" s="187" t="s">
        <v>3440</v>
      </c>
      <c r="B437" s="30" t="s">
        <v>3436</v>
      </c>
      <c r="C437" s="134"/>
      <c r="D437" s="30" t="s">
        <v>64</v>
      </c>
      <c r="E437" s="30" t="s">
        <v>3237</v>
      </c>
      <c r="F437" s="118" t="b">
        <f t="shared" ref="F437:G437" si="264">IF(F433=TRUE,TRUE,FALSE)</f>
        <v>1</v>
      </c>
      <c r="G437" s="118" t="b">
        <f t="shared" si="264"/>
        <v>0</v>
      </c>
      <c r="H437" s="185"/>
      <c r="I437" s="186" t="str">
        <f>IF(G437=TRUE,I433,"")</f>
        <v/>
      </c>
      <c r="J437" s="186"/>
    </row>
    <row r="438" hidden="1">
      <c r="A438" s="184" t="s">
        <v>3441</v>
      </c>
      <c r="B438" s="25" t="s">
        <v>3436</v>
      </c>
      <c r="C438" s="133"/>
      <c r="D438" s="25" t="s">
        <v>64</v>
      </c>
      <c r="E438" s="25" t="s">
        <v>3237</v>
      </c>
      <c r="F438" s="121" t="b">
        <f t="shared" ref="F438:G438" si="265">IF(F433=TRUE,TRUE,FALSE)</f>
        <v>1</v>
      </c>
      <c r="G438" s="121" t="b">
        <f t="shared" si="265"/>
        <v>0</v>
      </c>
      <c r="H438" s="185"/>
      <c r="I438" s="186" t="str">
        <f>IF(G438=TRUE,I433,"")</f>
        <v/>
      </c>
      <c r="J438" s="186"/>
    </row>
    <row r="439" hidden="1">
      <c r="A439" s="187" t="s">
        <v>3442</v>
      </c>
      <c r="B439" s="30" t="s">
        <v>3436</v>
      </c>
      <c r="C439" s="134"/>
      <c r="D439" s="30" t="s">
        <v>64</v>
      </c>
      <c r="E439" s="30" t="s">
        <v>3237</v>
      </c>
      <c r="F439" s="118" t="b">
        <f t="shared" ref="F439:G439" si="266">IF(F433=TRUE,TRUE,FALSE)</f>
        <v>1</v>
      </c>
      <c r="G439" s="118" t="b">
        <f t="shared" si="266"/>
        <v>0</v>
      </c>
      <c r="H439" s="185"/>
      <c r="I439" s="186" t="str">
        <f>IF(G439=TRUE,I433,"")</f>
        <v/>
      </c>
      <c r="J439" s="186"/>
    </row>
    <row r="440" hidden="1">
      <c r="A440" s="184" t="s">
        <v>3443</v>
      </c>
      <c r="B440" s="25" t="s">
        <v>3436</v>
      </c>
      <c r="C440" s="133"/>
      <c r="D440" s="25" t="s">
        <v>64</v>
      </c>
      <c r="E440" s="25" t="s">
        <v>3237</v>
      </c>
      <c r="F440" s="121" t="b">
        <f t="shared" ref="F440:G440" si="267">IF(F433=TRUE,TRUE,FALSE)</f>
        <v>1</v>
      </c>
      <c r="G440" s="121" t="b">
        <f t="shared" si="267"/>
        <v>0</v>
      </c>
      <c r="H440" s="185"/>
      <c r="I440" s="186" t="str">
        <f>IF(G440=TRUE,I433,"")</f>
        <v/>
      </c>
      <c r="J440" s="186"/>
    </row>
    <row r="441" hidden="1">
      <c r="A441" s="187" t="s">
        <v>3444</v>
      </c>
      <c r="B441" s="30" t="s">
        <v>3436</v>
      </c>
      <c r="C441" s="134"/>
      <c r="D441" s="30" t="s">
        <v>64</v>
      </c>
      <c r="E441" s="30" t="s">
        <v>3237</v>
      </c>
      <c r="F441" s="118" t="b">
        <f t="shared" ref="F441:G441" si="268">IF(F433=TRUE,TRUE,FALSE)</f>
        <v>1</v>
      </c>
      <c r="G441" s="118" t="b">
        <f t="shared" si="268"/>
        <v>0</v>
      </c>
      <c r="H441" s="185"/>
      <c r="I441" s="186" t="str">
        <f>IF(G441=TRUE,I433,"")</f>
        <v/>
      </c>
      <c r="J441" s="186"/>
    </row>
    <row r="442" hidden="1">
      <c r="A442" s="184" t="s">
        <v>3445</v>
      </c>
      <c r="B442" s="25" t="s">
        <v>3436</v>
      </c>
      <c r="C442" s="133"/>
      <c r="D442" s="25" t="s">
        <v>64</v>
      </c>
      <c r="E442" s="25" t="s">
        <v>3237</v>
      </c>
      <c r="F442" s="121" t="b">
        <f t="shared" ref="F442:G442" si="269">IF(F433=TRUE,TRUE,FALSE)</f>
        <v>1</v>
      </c>
      <c r="G442" s="121" t="b">
        <f t="shared" si="269"/>
        <v>0</v>
      </c>
      <c r="H442" s="185"/>
      <c r="I442" s="186" t="str">
        <f>IF(G442=TRUE,I433,"")</f>
        <v/>
      </c>
      <c r="J442" s="186"/>
    </row>
    <row r="443" hidden="1">
      <c r="A443" s="187" t="s">
        <v>3446</v>
      </c>
      <c r="B443" s="30" t="s">
        <v>3447</v>
      </c>
      <c r="C443" s="30" t="s">
        <v>3448</v>
      </c>
      <c r="D443" s="30" t="s">
        <v>64</v>
      </c>
      <c r="E443" s="30" t="s">
        <v>3237</v>
      </c>
      <c r="F443" s="118" t="b">
        <f t="shared" ref="F443:G443" si="270">IF(F433=TRUE,TRUE,FALSE)</f>
        <v>1</v>
      </c>
      <c r="G443" s="118" t="b">
        <f t="shared" si="270"/>
        <v>0</v>
      </c>
      <c r="H443" s="185"/>
      <c r="I443" s="186" t="str">
        <f>IF(G443=TRUE,I433,"")</f>
        <v/>
      </c>
      <c r="J443" s="186"/>
    </row>
    <row r="444" hidden="1">
      <c r="A444" s="181" t="s">
        <v>3449</v>
      </c>
      <c r="B444" s="179"/>
      <c r="C444" s="179"/>
      <c r="D444" s="179"/>
      <c r="E444" s="180"/>
      <c r="F444" s="115" t="b">
        <v>1</v>
      </c>
      <c r="G444" s="115" t="b">
        <v>0</v>
      </c>
      <c r="H444" s="155"/>
      <c r="I444" s="116"/>
      <c r="J444" s="116"/>
    </row>
    <row r="445" hidden="1">
      <c r="A445" s="184" t="s">
        <v>3450</v>
      </c>
      <c r="B445" s="25" t="s">
        <v>3451</v>
      </c>
      <c r="C445" s="25" t="s">
        <v>3452</v>
      </c>
      <c r="D445" s="25" t="s">
        <v>64</v>
      </c>
      <c r="E445" s="25" t="s">
        <v>3237</v>
      </c>
      <c r="F445" s="121" t="b">
        <f t="shared" ref="F445:G445" si="271">IF(F444=TRUE,TRUE,FALSE)</f>
        <v>1</v>
      </c>
      <c r="G445" s="121" t="b">
        <f t="shared" si="271"/>
        <v>0</v>
      </c>
      <c r="H445" s="185"/>
      <c r="I445" s="186" t="str">
        <f>IF(G445=TRUE,I444,"")</f>
        <v/>
      </c>
      <c r="J445" s="186"/>
    </row>
    <row r="446" hidden="1">
      <c r="A446" s="187" t="s">
        <v>3453</v>
      </c>
      <c r="B446" s="30" t="s">
        <v>3451</v>
      </c>
      <c r="C446" s="134"/>
      <c r="D446" s="30" t="s">
        <v>64</v>
      </c>
      <c r="E446" s="30" t="s">
        <v>3237</v>
      </c>
      <c r="F446" s="118" t="b">
        <f t="shared" ref="F446:G446" si="272">IF(F444=TRUE,TRUE,FALSE)</f>
        <v>1</v>
      </c>
      <c r="G446" s="118" t="b">
        <f t="shared" si="272"/>
        <v>0</v>
      </c>
      <c r="H446" s="185"/>
      <c r="I446" s="186" t="str">
        <f>IF(G446=TRUE,I444,"")</f>
        <v/>
      </c>
      <c r="J446" s="186"/>
    </row>
    <row r="447" hidden="1">
      <c r="A447" s="184" t="s">
        <v>3454</v>
      </c>
      <c r="B447" s="25" t="s">
        <v>3451</v>
      </c>
      <c r="C447" s="133"/>
      <c r="D447" s="25" t="s">
        <v>64</v>
      </c>
      <c r="E447" s="25" t="s">
        <v>3237</v>
      </c>
      <c r="F447" s="121" t="b">
        <f t="shared" ref="F447:G447" si="273">IF(F444=TRUE,TRUE,FALSE)</f>
        <v>1</v>
      </c>
      <c r="G447" s="121" t="b">
        <f t="shared" si="273"/>
        <v>0</v>
      </c>
      <c r="H447" s="185"/>
      <c r="I447" s="186" t="str">
        <f>IF(G447=TRUE,I444,"")</f>
        <v/>
      </c>
      <c r="J447" s="186"/>
    </row>
    <row r="448" hidden="1">
      <c r="A448" s="187" t="s">
        <v>3455</v>
      </c>
      <c r="B448" s="30" t="s">
        <v>3451</v>
      </c>
      <c r="C448" s="134"/>
      <c r="D448" s="30" t="s">
        <v>64</v>
      </c>
      <c r="E448" s="30" t="s">
        <v>3237</v>
      </c>
      <c r="F448" s="118" t="b">
        <f t="shared" ref="F448:G448" si="274">IF(F444=TRUE,TRUE,FALSE)</f>
        <v>1</v>
      </c>
      <c r="G448" s="118" t="b">
        <f t="shared" si="274"/>
        <v>0</v>
      </c>
      <c r="H448" s="185"/>
      <c r="I448" s="186" t="str">
        <f>IF(G448=TRUE,I444,"")</f>
        <v/>
      </c>
      <c r="J448" s="186"/>
    </row>
    <row r="449" hidden="1">
      <c r="A449" s="184" t="s">
        <v>3456</v>
      </c>
      <c r="B449" s="25" t="s">
        <v>3451</v>
      </c>
      <c r="C449" s="133"/>
      <c r="D449" s="25" t="s">
        <v>64</v>
      </c>
      <c r="E449" s="25" t="s">
        <v>3237</v>
      </c>
      <c r="F449" s="121" t="b">
        <f t="shared" ref="F449:G449" si="275">IF(F444=TRUE,TRUE,FALSE)</f>
        <v>1</v>
      </c>
      <c r="G449" s="121" t="b">
        <f t="shared" si="275"/>
        <v>0</v>
      </c>
      <c r="H449" s="185"/>
      <c r="I449" s="186" t="str">
        <f>IF(G449=TRUE,I444,"")</f>
        <v/>
      </c>
      <c r="J449" s="186"/>
    </row>
    <row r="450" hidden="1">
      <c r="A450" s="187" t="s">
        <v>3457</v>
      </c>
      <c r="B450" s="30" t="s">
        <v>3451</v>
      </c>
      <c r="C450" s="134"/>
      <c r="D450" s="30" t="s">
        <v>64</v>
      </c>
      <c r="E450" s="30" t="s">
        <v>3237</v>
      </c>
      <c r="F450" s="118" t="b">
        <f t="shared" ref="F450:G450" si="276">IF(F444=TRUE,TRUE,FALSE)</f>
        <v>1</v>
      </c>
      <c r="G450" s="118" t="b">
        <f t="shared" si="276"/>
        <v>0</v>
      </c>
      <c r="H450" s="185"/>
      <c r="I450" s="186" t="str">
        <f>IF(G450=TRUE,I444,"")</f>
        <v/>
      </c>
      <c r="J450" s="186"/>
    </row>
    <row r="451" hidden="1">
      <c r="A451" s="184" t="s">
        <v>3458</v>
      </c>
      <c r="B451" s="25" t="s">
        <v>3451</v>
      </c>
      <c r="C451" s="133"/>
      <c r="D451" s="25" t="s">
        <v>64</v>
      </c>
      <c r="E451" s="25" t="s">
        <v>3237</v>
      </c>
      <c r="F451" s="121" t="b">
        <f t="shared" ref="F451:G451" si="277">IF(F444=TRUE,TRUE,FALSE)</f>
        <v>1</v>
      </c>
      <c r="G451" s="121" t="b">
        <f t="shared" si="277"/>
        <v>0</v>
      </c>
      <c r="H451" s="185"/>
      <c r="I451" s="186" t="str">
        <f>IF(G451=TRUE,I444,"")</f>
        <v/>
      </c>
      <c r="J451" s="186"/>
    </row>
    <row r="452" hidden="1">
      <c r="A452" s="187" t="s">
        <v>2784</v>
      </c>
      <c r="B452" s="30" t="s">
        <v>3451</v>
      </c>
      <c r="C452" s="134"/>
      <c r="D452" s="30" t="s">
        <v>64</v>
      </c>
      <c r="E452" s="30" t="s">
        <v>3237</v>
      </c>
      <c r="F452" s="118" t="b">
        <f t="shared" ref="F452:G452" si="278">IF(F444=TRUE,TRUE,FALSE)</f>
        <v>1</v>
      </c>
      <c r="G452" s="118" t="b">
        <f t="shared" si="278"/>
        <v>0</v>
      </c>
      <c r="H452" s="185"/>
      <c r="I452" s="186" t="str">
        <f>IF(G452=TRUE,I444,"")</f>
        <v/>
      </c>
      <c r="J452" s="186"/>
    </row>
    <row r="453" hidden="1">
      <c r="A453" s="184" t="s">
        <v>3459</v>
      </c>
      <c r="B453" s="25" t="s">
        <v>3451</v>
      </c>
      <c r="C453" s="133"/>
      <c r="D453" s="25" t="s">
        <v>64</v>
      </c>
      <c r="E453" s="25" t="s">
        <v>3237</v>
      </c>
      <c r="F453" s="121" t="b">
        <f t="shared" ref="F453:G453" si="279">IF(F444=TRUE,TRUE,FALSE)</f>
        <v>1</v>
      </c>
      <c r="G453" s="121" t="b">
        <f t="shared" si="279"/>
        <v>0</v>
      </c>
      <c r="H453" s="185"/>
      <c r="I453" s="186" t="str">
        <f>IF(G453=TRUE,I444,"")</f>
        <v/>
      </c>
      <c r="J453" s="186"/>
    </row>
    <row r="454" hidden="1">
      <c r="A454" s="187" t="s">
        <v>3460</v>
      </c>
      <c r="B454" s="30" t="s">
        <v>3451</v>
      </c>
      <c r="C454" s="134"/>
      <c r="D454" s="30" t="s">
        <v>64</v>
      </c>
      <c r="E454" s="30" t="s">
        <v>3237</v>
      </c>
      <c r="F454" s="118" t="b">
        <f t="shared" ref="F454:G454" si="280">IF(F444=TRUE,TRUE,FALSE)</f>
        <v>1</v>
      </c>
      <c r="G454" s="118" t="b">
        <f t="shared" si="280"/>
        <v>0</v>
      </c>
      <c r="H454" s="185"/>
      <c r="I454" s="186" t="str">
        <f>IF(G454=TRUE,I444,"")</f>
        <v/>
      </c>
      <c r="J454" s="186"/>
    </row>
    <row r="455" hidden="1">
      <c r="A455" s="184" t="s">
        <v>3461</v>
      </c>
      <c r="B455" s="25" t="s">
        <v>3451</v>
      </c>
      <c r="C455" s="133"/>
      <c r="D455" s="25" t="s">
        <v>64</v>
      </c>
      <c r="E455" s="25" t="s">
        <v>3237</v>
      </c>
      <c r="F455" s="121" t="b">
        <f t="shared" ref="F455:G455" si="281">IF(F444=TRUE,TRUE,FALSE)</f>
        <v>1</v>
      </c>
      <c r="G455" s="121" t="b">
        <f t="shared" si="281"/>
        <v>0</v>
      </c>
      <c r="H455" s="185"/>
      <c r="I455" s="186" t="str">
        <f>IF(G455=TRUE,I444,"")</f>
        <v/>
      </c>
      <c r="J455" s="186"/>
    </row>
    <row r="456" hidden="1">
      <c r="A456" s="187" t="s">
        <v>3462</v>
      </c>
      <c r="B456" s="30" t="s">
        <v>3451</v>
      </c>
      <c r="C456" s="134"/>
      <c r="D456" s="30" t="s">
        <v>64</v>
      </c>
      <c r="E456" s="30" t="s">
        <v>3237</v>
      </c>
      <c r="F456" s="118" t="b">
        <f t="shared" ref="F456:G456" si="282">IF(F444=TRUE,TRUE,FALSE)</f>
        <v>1</v>
      </c>
      <c r="G456" s="118" t="b">
        <f t="shared" si="282"/>
        <v>0</v>
      </c>
      <c r="H456" s="185"/>
      <c r="I456" s="186" t="str">
        <f>IF(G456=TRUE,I444,"")</f>
        <v/>
      </c>
      <c r="J456" s="186"/>
    </row>
    <row r="457" hidden="1">
      <c r="A457" s="184" t="s">
        <v>3463</v>
      </c>
      <c r="B457" s="25" t="s">
        <v>3464</v>
      </c>
      <c r="C457" s="25" t="s">
        <v>3465</v>
      </c>
      <c r="D457" s="25" t="s">
        <v>64</v>
      </c>
      <c r="E457" s="25" t="s">
        <v>3237</v>
      </c>
      <c r="F457" s="121" t="b">
        <f t="shared" ref="F457:G457" si="283">IF(F444=TRUE,TRUE,FALSE)</f>
        <v>1</v>
      </c>
      <c r="G457" s="121" t="b">
        <f t="shared" si="283"/>
        <v>0</v>
      </c>
      <c r="H457" s="185"/>
      <c r="I457" s="186" t="str">
        <f>IF(G457=TRUE,I444,"")</f>
        <v/>
      </c>
      <c r="J457" s="186"/>
    </row>
    <row r="458" hidden="1">
      <c r="A458" s="187" t="s">
        <v>3466</v>
      </c>
      <c r="B458" s="30" t="s">
        <v>3464</v>
      </c>
      <c r="C458" s="134"/>
      <c r="D458" s="30" t="s">
        <v>64</v>
      </c>
      <c r="E458" s="30" t="s">
        <v>3237</v>
      </c>
      <c r="F458" s="118" t="b">
        <f t="shared" ref="F458:G458" si="284">IF(F444=TRUE,TRUE,FALSE)</f>
        <v>1</v>
      </c>
      <c r="G458" s="118" t="b">
        <f t="shared" si="284"/>
        <v>0</v>
      </c>
      <c r="H458" s="185"/>
      <c r="I458" s="186" t="str">
        <f>IF(G458=TRUE,I444,"")</f>
        <v/>
      </c>
      <c r="J458" s="186"/>
    </row>
    <row r="459" hidden="1">
      <c r="A459" s="184" t="s">
        <v>3467</v>
      </c>
      <c r="B459" s="25" t="s">
        <v>3464</v>
      </c>
      <c r="C459" s="133"/>
      <c r="D459" s="25" t="s">
        <v>64</v>
      </c>
      <c r="E459" s="25" t="s">
        <v>3237</v>
      </c>
      <c r="F459" s="121" t="b">
        <f t="shared" ref="F459:G459" si="285">IF(F444=TRUE,TRUE,FALSE)</f>
        <v>1</v>
      </c>
      <c r="G459" s="121" t="b">
        <f t="shared" si="285"/>
        <v>0</v>
      </c>
      <c r="H459" s="185"/>
      <c r="I459" s="186" t="str">
        <f>IF(G459=TRUE,I444,"")</f>
        <v/>
      </c>
      <c r="J459" s="186"/>
    </row>
    <row r="460" hidden="1">
      <c r="A460" s="187" t="s">
        <v>3468</v>
      </c>
      <c r="B460" s="30" t="s">
        <v>3464</v>
      </c>
      <c r="C460" s="134"/>
      <c r="D460" s="30" t="s">
        <v>64</v>
      </c>
      <c r="E460" s="30" t="s">
        <v>3237</v>
      </c>
      <c r="F460" s="118" t="b">
        <f t="shared" ref="F460:G460" si="286">IF(F444=TRUE,TRUE,FALSE)</f>
        <v>1</v>
      </c>
      <c r="G460" s="118" t="b">
        <f t="shared" si="286"/>
        <v>0</v>
      </c>
      <c r="H460" s="185"/>
      <c r="I460" s="186" t="str">
        <f>IF(G460=TRUE,I444,"")</f>
        <v/>
      </c>
      <c r="J460" s="186"/>
    </row>
    <row r="461" hidden="1">
      <c r="A461" s="184" t="s">
        <v>3469</v>
      </c>
      <c r="B461" s="25" t="s">
        <v>3464</v>
      </c>
      <c r="C461" s="133"/>
      <c r="D461" s="25" t="s">
        <v>64</v>
      </c>
      <c r="E461" s="25" t="s">
        <v>3237</v>
      </c>
      <c r="F461" s="121" t="b">
        <f t="shared" ref="F461:G461" si="287">IF(F444=TRUE,TRUE,FALSE)</f>
        <v>1</v>
      </c>
      <c r="G461" s="121" t="b">
        <f t="shared" si="287"/>
        <v>0</v>
      </c>
      <c r="H461" s="185"/>
      <c r="I461" s="186" t="str">
        <f>IF(G461=TRUE,I444,"")</f>
        <v/>
      </c>
      <c r="J461" s="186"/>
    </row>
    <row r="462" hidden="1">
      <c r="A462" s="187" t="s">
        <v>3470</v>
      </c>
      <c r="B462" s="30" t="s">
        <v>3464</v>
      </c>
      <c r="C462" s="134"/>
      <c r="D462" s="30" t="s">
        <v>64</v>
      </c>
      <c r="E462" s="30" t="s">
        <v>3237</v>
      </c>
      <c r="F462" s="118" t="b">
        <f t="shared" ref="F462:G462" si="288">IF(F444=TRUE,TRUE,FALSE)</f>
        <v>1</v>
      </c>
      <c r="G462" s="118" t="b">
        <f t="shared" si="288"/>
        <v>0</v>
      </c>
      <c r="H462" s="185"/>
      <c r="I462" s="186" t="str">
        <f>IF(G462=TRUE,I444,"")</f>
        <v/>
      </c>
      <c r="J462" s="186"/>
    </row>
    <row r="463" hidden="1">
      <c r="A463" s="184" t="s">
        <v>3471</v>
      </c>
      <c r="B463" s="25" t="s">
        <v>3464</v>
      </c>
      <c r="C463" s="133"/>
      <c r="D463" s="25" t="s">
        <v>64</v>
      </c>
      <c r="E463" s="25" t="s">
        <v>3237</v>
      </c>
      <c r="F463" s="121" t="b">
        <f t="shared" ref="F463:G463" si="289">IF(F444=TRUE,TRUE,FALSE)</f>
        <v>1</v>
      </c>
      <c r="G463" s="121" t="b">
        <f t="shared" si="289"/>
        <v>0</v>
      </c>
      <c r="H463" s="185"/>
      <c r="I463" s="186" t="str">
        <f>IF(G463=TRUE,I444,"")</f>
        <v/>
      </c>
      <c r="J463" s="186"/>
    </row>
    <row r="464" hidden="1">
      <c r="A464" s="181" t="s">
        <v>3472</v>
      </c>
      <c r="B464" s="179"/>
      <c r="C464" s="179"/>
      <c r="D464" s="179"/>
      <c r="E464" s="180"/>
      <c r="F464" s="115" t="b">
        <v>1</v>
      </c>
      <c r="G464" s="115" t="b">
        <v>0</v>
      </c>
      <c r="H464" s="155"/>
      <c r="I464" s="116"/>
      <c r="J464" s="116"/>
    </row>
    <row r="465" hidden="1">
      <c r="A465" s="187" t="s">
        <v>3473</v>
      </c>
      <c r="B465" s="30" t="s">
        <v>3474</v>
      </c>
      <c r="C465" s="30" t="s">
        <v>3475</v>
      </c>
      <c r="D465" s="30" t="s">
        <v>64</v>
      </c>
      <c r="E465" s="30" t="s">
        <v>3237</v>
      </c>
      <c r="F465" s="118" t="b">
        <f t="shared" ref="F465:G465" si="290">IF(F464=TRUE,TRUE,FALSE)</f>
        <v>1</v>
      </c>
      <c r="G465" s="118" t="b">
        <f t="shared" si="290"/>
        <v>0</v>
      </c>
      <c r="H465" s="185"/>
      <c r="I465" s="186" t="str">
        <f>IF(G465=TRUE,I464,"")</f>
        <v/>
      </c>
      <c r="J465" s="186"/>
    </row>
    <row r="466" hidden="1">
      <c r="A466" s="184" t="s">
        <v>3476</v>
      </c>
      <c r="B466" s="25" t="s">
        <v>3474</v>
      </c>
      <c r="C466" s="133"/>
      <c r="D466" s="25" t="s">
        <v>64</v>
      </c>
      <c r="E466" s="25" t="s">
        <v>3237</v>
      </c>
      <c r="F466" s="121" t="b">
        <f t="shared" ref="F466:G466" si="291">IF(F464=TRUE,TRUE,FALSE)</f>
        <v>1</v>
      </c>
      <c r="G466" s="121" t="b">
        <f t="shared" si="291"/>
        <v>0</v>
      </c>
      <c r="H466" s="185"/>
      <c r="I466" s="186" t="str">
        <f>IF(G466=TRUE,I464,"")</f>
        <v/>
      </c>
      <c r="J466" s="186"/>
    </row>
    <row r="467" hidden="1">
      <c r="A467" s="187" t="s">
        <v>3477</v>
      </c>
      <c r="B467" s="30" t="s">
        <v>3474</v>
      </c>
      <c r="C467" s="134"/>
      <c r="D467" s="30" t="s">
        <v>64</v>
      </c>
      <c r="E467" s="30" t="s">
        <v>3237</v>
      </c>
      <c r="F467" s="118" t="b">
        <f t="shared" ref="F467:G467" si="292">IF(F464=TRUE,TRUE,FALSE)</f>
        <v>1</v>
      </c>
      <c r="G467" s="118" t="b">
        <f t="shared" si="292"/>
        <v>0</v>
      </c>
      <c r="H467" s="185"/>
      <c r="I467" s="186" t="str">
        <f>IF(G467=TRUE,I464,"")</f>
        <v/>
      </c>
      <c r="J467" s="186"/>
    </row>
    <row r="468" hidden="1">
      <c r="A468" s="184" t="s">
        <v>3478</v>
      </c>
      <c r="B468" s="25" t="s">
        <v>3474</v>
      </c>
      <c r="C468" s="133"/>
      <c r="D468" s="25" t="s">
        <v>64</v>
      </c>
      <c r="E468" s="25" t="s">
        <v>3237</v>
      </c>
      <c r="F468" s="121" t="b">
        <f t="shared" ref="F468:G468" si="293">IF(F464=TRUE,TRUE,FALSE)</f>
        <v>1</v>
      </c>
      <c r="G468" s="121" t="b">
        <f t="shared" si="293"/>
        <v>0</v>
      </c>
      <c r="H468" s="185"/>
      <c r="I468" s="186" t="str">
        <f>IF(G468=TRUE,I464,"")</f>
        <v/>
      </c>
      <c r="J468" s="186"/>
    </row>
    <row r="469" hidden="1">
      <c r="A469" s="187" t="s">
        <v>3479</v>
      </c>
      <c r="B469" s="30" t="s">
        <v>3474</v>
      </c>
      <c r="C469" s="134"/>
      <c r="D469" s="30" t="s">
        <v>64</v>
      </c>
      <c r="E469" s="30" t="s">
        <v>3237</v>
      </c>
      <c r="F469" s="118" t="b">
        <f t="shared" ref="F469:G469" si="294">IF(F464=TRUE,TRUE,FALSE)</f>
        <v>1</v>
      </c>
      <c r="G469" s="118" t="b">
        <f t="shared" si="294"/>
        <v>0</v>
      </c>
      <c r="H469" s="185"/>
      <c r="I469" s="186" t="str">
        <f>IF(G469=TRUE,I464,"")</f>
        <v/>
      </c>
      <c r="J469" s="186"/>
    </row>
    <row r="470" hidden="1">
      <c r="A470" s="184" t="s">
        <v>3480</v>
      </c>
      <c r="B470" s="25" t="s">
        <v>3474</v>
      </c>
      <c r="C470" s="133"/>
      <c r="D470" s="25" t="s">
        <v>64</v>
      </c>
      <c r="E470" s="25" t="s">
        <v>3237</v>
      </c>
      <c r="F470" s="121" t="b">
        <f t="shared" ref="F470:G470" si="295">IF(F464=TRUE,TRUE,FALSE)</f>
        <v>1</v>
      </c>
      <c r="G470" s="121" t="b">
        <f t="shared" si="295"/>
        <v>0</v>
      </c>
      <c r="H470" s="185"/>
      <c r="I470" s="186" t="str">
        <f>IF(G470=TRUE,I464,"")</f>
        <v/>
      </c>
      <c r="J470" s="186"/>
    </row>
    <row r="471" hidden="1">
      <c r="A471" s="187" t="s">
        <v>3481</v>
      </c>
      <c r="B471" s="30" t="s">
        <v>3474</v>
      </c>
      <c r="C471" s="134"/>
      <c r="D471" s="30" t="s">
        <v>64</v>
      </c>
      <c r="E471" s="30" t="s">
        <v>3237</v>
      </c>
      <c r="F471" s="118" t="b">
        <f t="shared" ref="F471:G471" si="296">IF(F464=TRUE,TRUE,FALSE)</f>
        <v>1</v>
      </c>
      <c r="G471" s="118" t="b">
        <f t="shared" si="296"/>
        <v>0</v>
      </c>
      <c r="H471" s="185"/>
      <c r="I471" s="186" t="str">
        <f>IF(G471=TRUE,I464,"")</f>
        <v/>
      </c>
      <c r="J471" s="186"/>
    </row>
    <row r="472" hidden="1">
      <c r="A472" s="184" t="s">
        <v>3482</v>
      </c>
      <c r="B472" s="25" t="s">
        <v>3474</v>
      </c>
      <c r="C472" s="133"/>
      <c r="D472" s="25" t="s">
        <v>64</v>
      </c>
      <c r="E472" s="25" t="s">
        <v>3237</v>
      </c>
      <c r="F472" s="121" t="b">
        <f t="shared" ref="F472:G472" si="297">IF(F464=TRUE,TRUE,FALSE)</f>
        <v>1</v>
      </c>
      <c r="G472" s="121" t="b">
        <f t="shared" si="297"/>
        <v>0</v>
      </c>
      <c r="H472" s="185"/>
      <c r="I472" s="186" t="str">
        <f>IF(G472=TRUE,I464,"")</f>
        <v/>
      </c>
      <c r="J472" s="186"/>
    </row>
    <row r="473" hidden="1">
      <c r="A473" s="181" t="s">
        <v>3483</v>
      </c>
      <c r="B473" s="179"/>
      <c r="C473" s="179"/>
      <c r="D473" s="179"/>
      <c r="E473" s="180"/>
      <c r="F473" s="115" t="b">
        <v>1</v>
      </c>
      <c r="G473" s="115" t="b">
        <v>0</v>
      </c>
      <c r="H473" s="155"/>
      <c r="I473" s="116"/>
      <c r="J473" s="116"/>
    </row>
    <row r="474" hidden="1">
      <c r="A474" s="187" t="s">
        <v>3484</v>
      </c>
      <c r="B474" s="30" t="s">
        <v>3485</v>
      </c>
      <c r="C474" s="30" t="s">
        <v>3486</v>
      </c>
      <c r="D474" s="30" t="s">
        <v>64</v>
      </c>
      <c r="E474" s="30" t="s">
        <v>3237</v>
      </c>
      <c r="F474" s="118" t="b">
        <f t="shared" ref="F474:G474" si="298">IF(F473=TRUE,TRUE,FALSE)</f>
        <v>1</v>
      </c>
      <c r="G474" s="118" t="b">
        <f t="shared" si="298"/>
        <v>0</v>
      </c>
      <c r="H474" s="185"/>
      <c r="I474" s="186" t="str">
        <f>IF(G474=TRUE,I473,"")</f>
        <v/>
      </c>
      <c r="J474" s="186"/>
    </row>
    <row r="475" hidden="1">
      <c r="A475" s="184" t="s">
        <v>3487</v>
      </c>
      <c r="B475" s="25" t="s">
        <v>3485</v>
      </c>
      <c r="C475" s="133"/>
      <c r="D475" s="25" t="s">
        <v>64</v>
      </c>
      <c r="E475" s="25" t="s">
        <v>3237</v>
      </c>
      <c r="F475" s="121" t="b">
        <f t="shared" ref="F475:G475" si="299">IF(F473=TRUE,TRUE,FALSE)</f>
        <v>1</v>
      </c>
      <c r="G475" s="121" t="b">
        <f t="shared" si="299"/>
        <v>0</v>
      </c>
      <c r="H475" s="185"/>
      <c r="I475" s="186" t="str">
        <f>IF(G475=TRUE,I473,"")</f>
        <v/>
      </c>
      <c r="J475" s="186"/>
    </row>
    <row r="476" hidden="1">
      <c r="A476" s="187" t="s">
        <v>3488</v>
      </c>
      <c r="B476" s="30" t="s">
        <v>3485</v>
      </c>
      <c r="C476" s="134"/>
      <c r="D476" s="30" t="s">
        <v>64</v>
      </c>
      <c r="E476" s="30" t="s">
        <v>3237</v>
      </c>
      <c r="F476" s="118" t="b">
        <f t="shared" ref="F476:G476" si="300">IF(F473=TRUE,TRUE,FALSE)</f>
        <v>1</v>
      </c>
      <c r="G476" s="118" t="b">
        <f t="shared" si="300"/>
        <v>0</v>
      </c>
      <c r="H476" s="185"/>
      <c r="I476" s="186" t="str">
        <f>IF(G476=TRUE,I473,"")</f>
        <v/>
      </c>
      <c r="J476" s="186"/>
    </row>
    <row r="477" hidden="1">
      <c r="A477" s="184" t="s">
        <v>3489</v>
      </c>
      <c r="B477" s="25" t="s">
        <v>3485</v>
      </c>
      <c r="C477" s="133"/>
      <c r="D477" s="25" t="s">
        <v>64</v>
      </c>
      <c r="E477" s="25" t="s">
        <v>3237</v>
      </c>
      <c r="F477" s="121" t="b">
        <f t="shared" ref="F477:G477" si="301">IF(F473=TRUE,TRUE,FALSE)</f>
        <v>1</v>
      </c>
      <c r="G477" s="121" t="b">
        <f t="shared" si="301"/>
        <v>0</v>
      </c>
      <c r="H477" s="185"/>
      <c r="I477" s="186" t="str">
        <f>IF(G477=TRUE,I473,"")</f>
        <v/>
      </c>
      <c r="J477" s="186"/>
    </row>
    <row r="478" hidden="1">
      <c r="A478" s="187" t="s">
        <v>3490</v>
      </c>
      <c r="B478" s="30" t="s">
        <v>3485</v>
      </c>
      <c r="C478" s="134"/>
      <c r="D478" s="30" t="s">
        <v>64</v>
      </c>
      <c r="E478" s="30" t="s">
        <v>3237</v>
      </c>
      <c r="F478" s="118" t="b">
        <f t="shared" ref="F478:G478" si="302">IF(F473=TRUE,TRUE,FALSE)</f>
        <v>1</v>
      </c>
      <c r="G478" s="118" t="b">
        <f t="shared" si="302"/>
        <v>0</v>
      </c>
      <c r="H478" s="185"/>
      <c r="I478" s="186" t="str">
        <f>IF(G478=TRUE,I473,"")</f>
        <v/>
      </c>
      <c r="J478" s="186"/>
    </row>
    <row r="479" hidden="1">
      <c r="A479" s="184" t="s">
        <v>3491</v>
      </c>
      <c r="B479" s="25" t="s">
        <v>3485</v>
      </c>
      <c r="C479" s="133"/>
      <c r="D479" s="25" t="s">
        <v>64</v>
      </c>
      <c r="E479" s="25" t="s">
        <v>3237</v>
      </c>
      <c r="F479" s="121" t="b">
        <f t="shared" ref="F479:G479" si="303">IF(F473=TRUE,TRUE,FALSE)</f>
        <v>1</v>
      </c>
      <c r="G479" s="121" t="b">
        <f t="shared" si="303"/>
        <v>0</v>
      </c>
      <c r="H479" s="185"/>
      <c r="I479" s="186" t="str">
        <f>IF(G479=TRUE,I473,"")</f>
        <v/>
      </c>
      <c r="J479" s="186"/>
    </row>
    <row r="480" hidden="1">
      <c r="A480" s="181" t="s">
        <v>3492</v>
      </c>
      <c r="B480" s="179"/>
      <c r="C480" s="179"/>
      <c r="D480" s="179"/>
      <c r="E480" s="180"/>
      <c r="F480" s="115" t="b">
        <v>1</v>
      </c>
      <c r="G480" s="115" t="b">
        <v>0</v>
      </c>
      <c r="H480" s="155"/>
      <c r="I480" s="116"/>
      <c r="J480" s="116"/>
    </row>
    <row r="481" hidden="1">
      <c r="A481" s="187" t="s">
        <v>3493</v>
      </c>
      <c r="B481" s="30" t="s">
        <v>3494</v>
      </c>
      <c r="C481" s="30" t="s">
        <v>3495</v>
      </c>
      <c r="D481" s="30" t="s">
        <v>64</v>
      </c>
      <c r="E481" s="30" t="s">
        <v>3237</v>
      </c>
      <c r="F481" s="118" t="b">
        <f t="shared" ref="F481:G481" si="304">IF(F480=TRUE,TRUE,FALSE)</f>
        <v>1</v>
      </c>
      <c r="G481" s="118" t="b">
        <f t="shared" si="304"/>
        <v>0</v>
      </c>
      <c r="H481" s="185"/>
      <c r="I481" s="186" t="str">
        <f>IF(G481=TRUE,I480,"")</f>
        <v/>
      </c>
      <c r="J481" s="186"/>
    </row>
    <row r="482" hidden="1">
      <c r="A482" s="184" t="s">
        <v>3496</v>
      </c>
      <c r="B482" s="25" t="s">
        <v>3494</v>
      </c>
      <c r="C482" s="133"/>
      <c r="D482" s="25" t="s">
        <v>64</v>
      </c>
      <c r="E482" s="25" t="s">
        <v>3237</v>
      </c>
      <c r="F482" s="121" t="b">
        <f t="shared" ref="F482:G482" si="305">IF(F480=TRUE,TRUE,FALSE)</f>
        <v>1</v>
      </c>
      <c r="G482" s="121" t="b">
        <f t="shared" si="305"/>
        <v>0</v>
      </c>
      <c r="H482" s="185"/>
      <c r="I482" s="186" t="str">
        <f>IF(G482=TRUE,I480,"")</f>
        <v/>
      </c>
      <c r="J482" s="186"/>
    </row>
    <row r="483" hidden="1">
      <c r="A483" s="187" t="s">
        <v>3497</v>
      </c>
      <c r="B483" s="30" t="s">
        <v>3494</v>
      </c>
      <c r="C483" s="134"/>
      <c r="D483" s="30" t="s">
        <v>64</v>
      </c>
      <c r="E483" s="30" t="s">
        <v>3237</v>
      </c>
      <c r="F483" s="118" t="b">
        <f t="shared" ref="F483:G483" si="306">IF(F480=TRUE,TRUE,FALSE)</f>
        <v>1</v>
      </c>
      <c r="G483" s="118" t="b">
        <f t="shared" si="306"/>
        <v>0</v>
      </c>
      <c r="H483" s="185"/>
      <c r="I483" s="186" t="str">
        <f>IF(G483=TRUE,I480,"")</f>
        <v/>
      </c>
      <c r="J483" s="186"/>
    </row>
    <row r="484" hidden="1">
      <c r="A484" s="184" t="s">
        <v>3498</v>
      </c>
      <c r="B484" s="25" t="s">
        <v>3494</v>
      </c>
      <c r="C484" s="133"/>
      <c r="D484" s="25" t="s">
        <v>64</v>
      </c>
      <c r="E484" s="25" t="s">
        <v>3237</v>
      </c>
      <c r="F484" s="121" t="b">
        <f t="shared" ref="F484:G484" si="307">IF(F480=TRUE,TRUE,FALSE)</f>
        <v>1</v>
      </c>
      <c r="G484" s="121" t="b">
        <f t="shared" si="307"/>
        <v>0</v>
      </c>
      <c r="H484" s="185"/>
      <c r="I484" s="186" t="str">
        <f>IF(G484=TRUE,I480,"")</f>
        <v/>
      </c>
      <c r="J484" s="186"/>
    </row>
    <row r="485" hidden="1">
      <c r="A485" s="187" t="s">
        <v>3499</v>
      </c>
      <c r="B485" s="30" t="s">
        <v>3494</v>
      </c>
      <c r="C485" s="134"/>
      <c r="D485" s="30" t="s">
        <v>64</v>
      </c>
      <c r="E485" s="30" t="s">
        <v>3237</v>
      </c>
      <c r="F485" s="118" t="b">
        <f t="shared" ref="F485:G485" si="308">IF(F480=TRUE,TRUE,FALSE)</f>
        <v>1</v>
      </c>
      <c r="G485" s="118" t="b">
        <f t="shared" si="308"/>
        <v>0</v>
      </c>
      <c r="H485" s="185"/>
      <c r="I485" s="186" t="str">
        <f>IF(G485=TRUE,I480,"")</f>
        <v/>
      </c>
      <c r="J485" s="186"/>
    </row>
    <row r="486" hidden="1">
      <c r="A486" s="184" t="s">
        <v>3500</v>
      </c>
      <c r="B486" s="25" t="s">
        <v>3494</v>
      </c>
      <c r="C486" s="133"/>
      <c r="D486" s="25" t="s">
        <v>64</v>
      </c>
      <c r="E486" s="25" t="s">
        <v>3237</v>
      </c>
      <c r="F486" s="121" t="b">
        <f t="shared" ref="F486:G486" si="309">IF(F480=TRUE,TRUE,FALSE)</f>
        <v>1</v>
      </c>
      <c r="G486" s="121" t="b">
        <f t="shared" si="309"/>
        <v>0</v>
      </c>
      <c r="H486" s="185"/>
      <c r="I486" s="186" t="str">
        <f>IF(G486=TRUE,I480,"")</f>
        <v/>
      </c>
      <c r="J486" s="186"/>
    </row>
    <row r="487" hidden="1">
      <c r="A487" s="181" t="s">
        <v>3501</v>
      </c>
      <c r="B487" s="179"/>
      <c r="C487" s="179"/>
      <c r="D487" s="179"/>
      <c r="E487" s="180"/>
      <c r="F487" s="115" t="b">
        <v>1</v>
      </c>
      <c r="G487" s="115" t="b">
        <v>0</v>
      </c>
      <c r="H487" s="155"/>
      <c r="I487" s="116"/>
      <c r="J487" s="116"/>
    </row>
    <row r="488" hidden="1">
      <c r="A488" s="187" t="s">
        <v>3502</v>
      </c>
      <c r="B488" s="30" t="s">
        <v>3503</v>
      </c>
      <c r="C488" s="30" t="s">
        <v>3504</v>
      </c>
      <c r="D488" s="30" t="s">
        <v>64</v>
      </c>
      <c r="E488" s="30" t="s">
        <v>3237</v>
      </c>
      <c r="F488" s="118" t="b">
        <f t="shared" ref="F488:G488" si="310">IF(F487=TRUE,TRUE,FALSE)</f>
        <v>1</v>
      </c>
      <c r="G488" s="118" t="b">
        <f t="shared" si="310"/>
        <v>0</v>
      </c>
      <c r="H488" s="185"/>
      <c r="I488" s="186" t="str">
        <f>IF(G488=TRUE,I487,"")</f>
        <v/>
      </c>
      <c r="J488" s="186"/>
    </row>
    <row r="489" hidden="1">
      <c r="A489" s="184" t="s">
        <v>3505</v>
      </c>
      <c r="B489" s="25" t="s">
        <v>3503</v>
      </c>
      <c r="C489" s="133"/>
      <c r="D489" s="25" t="s">
        <v>64</v>
      </c>
      <c r="E489" s="25" t="s">
        <v>3237</v>
      </c>
      <c r="F489" s="121" t="b">
        <f t="shared" ref="F489:G489" si="311">IF(F487=TRUE,TRUE,FALSE)</f>
        <v>1</v>
      </c>
      <c r="G489" s="121" t="b">
        <f t="shared" si="311"/>
        <v>0</v>
      </c>
      <c r="H489" s="185"/>
      <c r="I489" s="186" t="str">
        <f>IF(G489=TRUE,I487,"")</f>
        <v/>
      </c>
      <c r="J489" s="186"/>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c r="X997" s="97"/>
      <c r="Y997" s="97"/>
    </row>
    <row r="998">
      <c r="A998" s="97"/>
      <c r="B998" s="97"/>
      <c r="C998" s="97"/>
      <c r="D998" s="97"/>
      <c r="E998" s="97"/>
      <c r="F998" s="97"/>
      <c r="G998" s="97"/>
      <c r="H998" s="97"/>
      <c r="I998" s="97"/>
      <c r="J998" s="97"/>
      <c r="K998" s="97"/>
      <c r="L998" s="97"/>
      <c r="M998" s="97"/>
      <c r="N998" s="97"/>
      <c r="O998" s="97"/>
      <c r="P998" s="97"/>
      <c r="Q998" s="97"/>
      <c r="R998" s="97"/>
      <c r="S998" s="97"/>
      <c r="T998" s="97"/>
      <c r="U998" s="97"/>
      <c r="V998" s="97"/>
      <c r="W998" s="97"/>
      <c r="X998" s="97"/>
      <c r="Y998" s="97"/>
    </row>
    <row r="999">
      <c r="A999" s="97"/>
      <c r="B999" s="97"/>
      <c r="C999" s="97"/>
      <c r="D999" s="97"/>
      <c r="E999" s="97"/>
      <c r="F999" s="97"/>
      <c r="G999" s="97"/>
      <c r="H999" s="97"/>
      <c r="I999" s="97"/>
      <c r="J999" s="97"/>
      <c r="K999" s="97"/>
      <c r="L999" s="97"/>
      <c r="M999" s="97"/>
      <c r="N999" s="97"/>
      <c r="O999" s="97"/>
      <c r="P999" s="97"/>
      <c r="Q999" s="97"/>
      <c r="R999" s="97"/>
      <c r="S999" s="97"/>
      <c r="T999" s="97"/>
      <c r="U999" s="97"/>
      <c r="V999" s="97"/>
      <c r="W999" s="97"/>
      <c r="X999" s="97"/>
      <c r="Y999" s="97"/>
    </row>
    <row r="1000">
      <c r="A1000" s="97"/>
      <c r="B1000" s="97"/>
      <c r="C1000" s="97"/>
      <c r="D1000" s="97"/>
      <c r="E1000" s="97"/>
      <c r="F1000" s="97"/>
      <c r="G1000" s="97"/>
      <c r="H1000" s="97"/>
      <c r="I1000" s="97"/>
      <c r="J1000" s="97"/>
      <c r="K1000" s="97"/>
      <c r="L1000" s="97"/>
      <c r="M1000" s="97"/>
      <c r="N1000" s="97"/>
      <c r="O1000" s="97"/>
      <c r="P1000" s="97"/>
      <c r="Q1000" s="97"/>
      <c r="R1000" s="97"/>
      <c r="S1000" s="97"/>
      <c r="T1000" s="97"/>
      <c r="U1000" s="97"/>
      <c r="V1000" s="97"/>
      <c r="W1000" s="97"/>
      <c r="X1000" s="97"/>
      <c r="Y1000" s="97"/>
    </row>
  </sheetData>
  <autoFilter ref="$A$2:$J$489">
    <filterColumn colId="6">
      <filters blank="1">
        <filter val="TRUE"/>
        <filter val="UNSURE (INDUCTOR)"/>
      </filters>
    </filterColumn>
    <filterColumn colId="7">
      <filters>
        <filter val="Riya Punia - Red Hat"/>
        <filter val="Riya Punia (Red Hat)"/>
        <filter val="Riya Punia"/>
      </filters>
    </filterColumn>
  </autoFilter>
  <mergeCells count="119">
    <mergeCell ref="A3:E3"/>
    <mergeCell ref="A4:E4"/>
    <mergeCell ref="A11:E11"/>
    <mergeCell ref="A14:E14"/>
    <mergeCell ref="A16:E16"/>
    <mergeCell ref="A18:E18"/>
    <mergeCell ref="A21:E21"/>
    <mergeCell ref="A23:E23"/>
    <mergeCell ref="A25:E25"/>
    <mergeCell ref="A29:E29"/>
    <mergeCell ref="A31:E31"/>
    <mergeCell ref="A33:E33"/>
    <mergeCell ref="A35:E35"/>
    <mergeCell ref="A37:E37"/>
    <mergeCell ref="A40:E40"/>
    <mergeCell ref="A43:E43"/>
    <mergeCell ref="A44:E44"/>
    <mergeCell ref="A51:E51"/>
    <mergeCell ref="A53:E53"/>
    <mergeCell ref="A56:E56"/>
    <mergeCell ref="A58:E58"/>
    <mergeCell ref="A61:E61"/>
    <mergeCell ref="A63:E63"/>
    <mergeCell ref="A65:E65"/>
    <mergeCell ref="A67:E67"/>
    <mergeCell ref="A68:E68"/>
    <mergeCell ref="A75:E75"/>
    <mergeCell ref="A78:E78"/>
    <mergeCell ref="A88:E88"/>
    <mergeCell ref="A90:E90"/>
    <mergeCell ref="A92:E92"/>
    <mergeCell ref="A95:E95"/>
    <mergeCell ref="A99:E99"/>
    <mergeCell ref="A104:E104"/>
    <mergeCell ref="A106:E106"/>
    <mergeCell ref="A108:E108"/>
    <mergeCell ref="A109:E109"/>
    <mergeCell ref="A115:E115"/>
    <mergeCell ref="A117:E117"/>
    <mergeCell ref="A119:E119"/>
    <mergeCell ref="A124:E124"/>
    <mergeCell ref="J126:J127"/>
    <mergeCell ref="A128:E128"/>
    <mergeCell ref="A133:E133"/>
    <mergeCell ref="A135:E135"/>
    <mergeCell ref="A137:E137"/>
    <mergeCell ref="A139:E139"/>
    <mergeCell ref="A140:E140"/>
    <mergeCell ref="A143:E143"/>
    <mergeCell ref="A265:E265"/>
    <mergeCell ref="A267:E267"/>
    <mergeCell ref="A269:E269"/>
    <mergeCell ref="A271:E271"/>
    <mergeCell ref="A273:E273"/>
    <mergeCell ref="A276:E276"/>
    <mergeCell ref="A278:E278"/>
    <mergeCell ref="A415:E415"/>
    <mergeCell ref="A433:E433"/>
    <mergeCell ref="A444:E444"/>
    <mergeCell ref="A464:E464"/>
    <mergeCell ref="A473:E473"/>
    <mergeCell ref="A480:E480"/>
    <mergeCell ref="A487:E487"/>
    <mergeCell ref="A280:E280"/>
    <mergeCell ref="A282:E282"/>
    <mergeCell ref="A286:E286"/>
    <mergeCell ref="A287:E287"/>
    <mergeCell ref="A305:E305"/>
    <mergeCell ref="A311:E311"/>
    <mergeCell ref="A396:E396"/>
    <mergeCell ref="A145:E145"/>
    <mergeCell ref="A147:E147"/>
    <mergeCell ref="A149:E149"/>
    <mergeCell ref="A150:E150"/>
    <mergeCell ref="A154:E154"/>
    <mergeCell ref="A160:E160"/>
    <mergeCell ref="A163:E163"/>
    <mergeCell ref="A164:E164"/>
    <mergeCell ref="A167:E167"/>
    <mergeCell ref="J168:J169"/>
    <mergeCell ref="A170:E170"/>
    <mergeCell ref="A171:E171"/>
    <mergeCell ref="A175:E175"/>
    <mergeCell ref="A177:E177"/>
    <mergeCell ref="A179:E179"/>
    <mergeCell ref="A181:E181"/>
    <mergeCell ref="A182:E182"/>
    <mergeCell ref="A184:E184"/>
    <mergeCell ref="A186:E186"/>
    <mergeCell ref="A187:E187"/>
    <mergeCell ref="A189:E189"/>
    <mergeCell ref="A192:E192"/>
    <mergeCell ref="A194:E194"/>
    <mergeCell ref="A195:E195"/>
    <mergeCell ref="A197:E197"/>
    <mergeCell ref="A202:E202"/>
    <mergeCell ref="A205:E205"/>
    <mergeCell ref="A207:E207"/>
    <mergeCell ref="A209:E209"/>
    <mergeCell ref="A210:E210"/>
    <mergeCell ref="A212:E212"/>
    <mergeCell ref="A214:E214"/>
    <mergeCell ref="A216:E216"/>
    <mergeCell ref="A219:E219"/>
    <mergeCell ref="A221:E221"/>
    <mergeCell ref="A226:E226"/>
    <mergeCell ref="A230:E230"/>
    <mergeCell ref="A231:E231"/>
    <mergeCell ref="A235:E235"/>
    <mergeCell ref="A237:E237"/>
    <mergeCell ref="A240:E240"/>
    <mergeCell ref="A243:E243"/>
    <mergeCell ref="A245:E245"/>
    <mergeCell ref="A249:E249"/>
    <mergeCell ref="A253:E253"/>
    <mergeCell ref="A257:E257"/>
    <mergeCell ref="A259:E259"/>
    <mergeCell ref="A260:E260"/>
    <mergeCell ref="A262:E262"/>
  </mergeCells>
  <dataValidations>
    <dataValidation type="list" allowBlank="1" sqref="F3:G489">
      <formula1>"TRUE,FALSE,UNSURE (INDUCTOR)"</formula1>
    </dataValidation>
  </dataValidations>
  <hyperlinks>
    <hyperlink r:id="rId1" location="L192" ref="A5"/>
    <hyperlink r:id="rId2" ref="J5"/>
    <hyperlink r:id="rId3" location="L13692" ref="A6"/>
    <hyperlink r:id="rId4" location="L14106" ref="A7"/>
    <hyperlink r:id="rId5" ref="J7"/>
    <hyperlink r:id="rId6" location="L14013" ref="A8"/>
    <hyperlink r:id="rId7" location="L14042" ref="A9"/>
    <hyperlink r:id="rId8" location="L14429" ref="A10"/>
    <hyperlink r:id="rId9" ref="J10"/>
    <hyperlink r:id="rId10" location="L156" ref="A12"/>
    <hyperlink r:id="rId11" ref="J12"/>
    <hyperlink r:id="rId12" location="L4283" ref="A13"/>
    <hyperlink r:id="rId13" location="L27" ref="A15"/>
    <hyperlink r:id="rId14" location="L28" ref="A17"/>
    <hyperlink r:id="rId15" location="L14" ref="A19"/>
    <hyperlink r:id="rId16" location="L566" ref="A20"/>
    <hyperlink r:id="rId17" location="L80" ref="A22"/>
    <hyperlink r:id="rId18" location="L24" ref="A24"/>
    <hyperlink r:id="rId19" location="L310" ref="A26"/>
    <hyperlink r:id="rId20" location="L509" ref="A27"/>
    <hyperlink r:id="rId21" location="L531" ref="A28"/>
    <hyperlink r:id="rId22" location="L19" ref="A30"/>
    <hyperlink r:id="rId23" location="L40" ref="A32"/>
    <hyperlink r:id="rId24" location="L20" ref="A34"/>
    <hyperlink r:id="rId25" location="L11" ref="A36"/>
    <hyperlink r:id="rId26" location="L82" ref="A38"/>
    <hyperlink r:id="rId27" location="L335" ref="A39"/>
    <hyperlink r:id="rId28" location="L88" ref="A41"/>
    <hyperlink r:id="rId29" location="L233" ref="A42"/>
    <hyperlink r:id="rId30" location="L71" ref="A45"/>
    <hyperlink r:id="rId31" ref="J45"/>
    <hyperlink r:id="rId32" location="L970" ref="A46"/>
    <hyperlink r:id="rId33" location="L1031" ref="A47"/>
    <hyperlink r:id="rId34" location="L1067" ref="A48"/>
    <hyperlink r:id="rId35" location="L1076" ref="A49"/>
    <hyperlink r:id="rId36" location="L1350" ref="A50"/>
    <hyperlink r:id="rId37" location="L472" ref="A52"/>
    <hyperlink r:id="rId38" ref="J52"/>
    <hyperlink r:id="rId39" location="L10" ref="A54"/>
    <hyperlink r:id="rId40" location="L20" ref="A55"/>
    <hyperlink r:id="rId41" location="L12" ref="A57"/>
    <hyperlink r:id="rId42" location="L27" ref="A59"/>
    <hyperlink r:id="rId43" ref="J59"/>
    <hyperlink r:id="rId44" location="L917" ref="A60"/>
    <hyperlink r:id="rId45" ref="J60"/>
    <hyperlink r:id="rId46" location="L15" ref="A62"/>
    <hyperlink r:id="rId47" location="L65" ref="A64"/>
    <hyperlink r:id="rId48" location="L20" ref="A66"/>
    <hyperlink r:id="rId49" location="L51" ref="A69"/>
    <hyperlink r:id="rId50" location="L1383" ref="A70"/>
    <hyperlink r:id="rId51" location="L1519" ref="A71"/>
    <hyperlink r:id="rId52" location="L1972" ref="A72"/>
    <hyperlink r:id="rId53" location="L1976" ref="A73"/>
    <hyperlink r:id="rId54" location="L2045" ref="A74"/>
    <hyperlink r:id="rId55" location="L14" ref="A76"/>
    <hyperlink r:id="rId56" location="L186" ref="A77"/>
    <hyperlink r:id="rId57" location="L25" ref="A79"/>
    <hyperlink r:id="rId58" location="L657" ref="A80"/>
    <hyperlink r:id="rId59" location="L653" ref="A81"/>
    <hyperlink r:id="rId60" location="L42" ref="A82"/>
    <hyperlink r:id="rId61" location="L664" ref="A83"/>
    <hyperlink r:id="rId62" location="L677" ref="A84"/>
    <hyperlink r:id="rId63" location="L687" ref="A85"/>
    <hyperlink r:id="rId64" location="L64" ref="A86"/>
    <hyperlink r:id="rId65" location="L91" ref="A87"/>
    <hyperlink r:id="rId66" location="L10" ref="A89"/>
    <hyperlink r:id="rId67" location="L12" ref="A91"/>
    <hyperlink r:id="rId68" location="L45" ref="A93"/>
    <hyperlink r:id="rId69" location="L21" ref="A94"/>
    <hyperlink r:id="rId70" location="L79" ref="A96"/>
    <hyperlink r:id="rId71" ref="J96"/>
    <hyperlink r:id="rId72" location="L1903" ref="A97"/>
    <hyperlink r:id="rId73" ref="J97"/>
    <hyperlink r:id="rId74" location="L20" ref="A98"/>
    <hyperlink r:id="rId75" location="L42" ref="A100"/>
    <hyperlink r:id="rId76" location="L915" ref="A101"/>
    <hyperlink r:id="rId77" location="L954" ref="A102"/>
    <hyperlink r:id="rId78" location="L1280" ref="A103"/>
    <hyperlink r:id="rId79" location="L49" ref="A105"/>
    <hyperlink r:id="rId80" location="L11" ref="A107"/>
    <hyperlink r:id="rId81" location="L47" ref="A110"/>
    <hyperlink r:id="rId82" ref="J110"/>
    <hyperlink r:id="rId83" location="L177" ref="A111"/>
    <hyperlink r:id="rId84" location="L194" ref="A112"/>
    <hyperlink r:id="rId85" location="L204" ref="A113"/>
    <hyperlink r:id="rId86" location="L253" ref="A114"/>
    <hyperlink r:id="rId87" location="L25" ref="A116"/>
    <hyperlink r:id="rId88" ref="J116"/>
    <hyperlink r:id="rId89" location="L62" ref="A118"/>
    <hyperlink r:id="rId90" location="L43" ref="A120"/>
    <hyperlink r:id="rId91" location="L4573" ref="A121"/>
    <hyperlink r:id="rId92" ref="J121"/>
    <hyperlink r:id="rId93" location="L10" ref="A122"/>
    <hyperlink r:id="rId94" location="L7" ref="A123"/>
    <hyperlink r:id="rId95" location="L49" ref="A125"/>
    <hyperlink r:id="rId96" location="L541" ref="A126"/>
    <hyperlink r:id="rId97" ref="I126"/>
    <hyperlink r:id="rId98" location="L1639" ref="A127"/>
    <hyperlink r:id="rId99" ref="I127"/>
    <hyperlink r:id="rId100" location="L138" ref="A129"/>
    <hyperlink r:id="rId101" ref="I129"/>
    <hyperlink r:id="rId102" ref="J129"/>
    <hyperlink r:id="rId103" location="L2543" ref="A130"/>
    <hyperlink r:id="rId104" ref="I130"/>
    <hyperlink r:id="rId105" ref="J130"/>
    <hyperlink r:id="rId106" location="L2559" ref="A131"/>
    <hyperlink r:id="rId107" location="L2958" ref="A132"/>
    <hyperlink r:id="rId108" location="L19" ref="A134"/>
    <hyperlink r:id="rId109" location="L472" ref="A136"/>
    <hyperlink r:id="rId110" location="L20" ref="A138"/>
    <hyperlink r:id="rId111" location="L24" ref="A141"/>
    <hyperlink r:id="rId112" location="L240" ref="A142"/>
    <hyperlink r:id="rId113" location="L22" ref="A144"/>
    <hyperlink r:id="rId114" location="L12" ref="A146"/>
    <hyperlink r:id="rId115" location="L37" ref="A148"/>
    <hyperlink r:id="rId116" location="L230" ref="A151"/>
    <hyperlink r:id="rId117" location="L2012" ref="A152"/>
    <hyperlink r:id="rId118" location="L206" ref="A153"/>
    <hyperlink r:id="rId119" location="L137" ref="A155"/>
    <hyperlink r:id="rId120" ref="J155"/>
    <hyperlink r:id="rId121" location="L3480" ref="A156"/>
    <hyperlink r:id="rId122" location="L3751" ref="A157"/>
    <hyperlink r:id="rId123" location="L6904" ref="A158"/>
    <hyperlink r:id="rId124" ref="I158"/>
    <hyperlink r:id="rId125" ref="J158"/>
    <hyperlink r:id="rId126" location="L7297" ref="A159"/>
    <hyperlink r:id="rId127" ref="J159"/>
    <hyperlink r:id="rId128" location="L27" ref="A161"/>
    <hyperlink r:id="rId129" location="L32" ref="A162"/>
    <hyperlink r:id="rId130" location="L172" ref="A165"/>
    <hyperlink r:id="rId131" ref="I165"/>
    <hyperlink r:id="rId132" ref="J165"/>
    <hyperlink r:id="rId133" location="L2134" ref="A166"/>
    <hyperlink r:id="rId134" location="L49" ref="A168"/>
    <hyperlink r:id="rId135" ref="I168"/>
    <hyperlink r:id="rId136" location="L317" ref="A169"/>
    <hyperlink r:id="rId137" ref="I169"/>
    <hyperlink r:id="rId138" location="L1197" ref="A172"/>
    <hyperlink r:id="rId139" location="L1818" ref="A173"/>
    <hyperlink r:id="rId140" ref="J173"/>
    <hyperlink r:id="rId141" location="L1850" ref="A174"/>
    <hyperlink r:id="rId142" location="L41" ref="A176"/>
    <hyperlink r:id="rId143" location="L37" ref="A178"/>
    <hyperlink r:id="rId144" location="L8" ref="A180"/>
    <hyperlink r:id="rId145" location="L19" ref="A183"/>
    <hyperlink r:id="rId146" location="L76" ref="A185"/>
    <hyperlink r:id="rId147" location="L20" ref="A188"/>
    <hyperlink r:id="rId148" ref="I188"/>
    <hyperlink r:id="rId149" ref="J188"/>
    <hyperlink r:id="rId150" location="L126" ref="A190"/>
    <hyperlink r:id="rId151" ref="J190"/>
    <hyperlink r:id="rId152" location="L469" ref="A191"/>
    <hyperlink r:id="rId153" location="L10" ref="A193"/>
    <hyperlink r:id="rId154" location="L41" ref="A196"/>
    <hyperlink r:id="rId155" location="L61" ref="A198"/>
    <hyperlink r:id="rId156" ref="J198"/>
    <hyperlink r:id="rId157" location="L139" ref="A199"/>
    <hyperlink r:id="rId158" ref="I199"/>
    <hyperlink r:id="rId159" location="L852" ref="A200"/>
    <hyperlink r:id="rId160" ref="J200"/>
    <hyperlink r:id="rId161" location="L1375" ref="A201"/>
    <hyperlink r:id="rId162" ref="J201"/>
    <hyperlink r:id="rId163" location="L415" ref="A203"/>
    <hyperlink r:id="rId164" ref="J203"/>
    <hyperlink r:id="rId165" location="L3335" ref="A204"/>
    <hyperlink r:id="rId166" ref="J204"/>
    <hyperlink r:id="rId167" location="L8" ref="A206"/>
    <hyperlink r:id="rId168" location="L21" ref="A208"/>
    <hyperlink r:id="rId169" ref="J208"/>
    <hyperlink r:id="rId170" location="L58" ref="A211"/>
    <hyperlink r:id="rId171" location="L16" ref="A213"/>
    <hyperlink r:id="rId172" location="L33" ref="A215"/>
    <hyperlink r:id="rId173" ref="I215"/>
    <hyperlink r:id="rId174" ref="J215"/>
    <hyperlink r:id="rId175" location="L12" ref="A217"/>
    <hyperlink r:id="rId176" location="L50" ref="A218"/>
    <hyperlink r:id="rId177" location="L24" ref="A220"/>
    <hyperlink r:id="rId178" location="L112" ref="A222"/>
    <hyperlink r:id="rId179" location="L586" ref="A223"/>
    <hyperlink r:id="rId180" location="L1366" ref="A224"/>
    <hyperlink r:id="rId181" location="L68" ref="A225"/>
    <hyperlink r:id="rId182" ref="J225"/>
    <hyperlink r:id="rId183" location="L11" ref="A227"/>
    <hyperlink r:id="rId184" ref="J227"/>
    <hyperlink r:id="rId185" location="L29" ref="A228"/>
    <hyperlink r:id="rId186" location="L69" ref="A229"/>
    <hyperlink r:id="rId187" location="L165" ref="A232"/>
    <hyperlink r:id="rId188" ref="J232"/>
    <hyperlink r:id="rId189" location="L39" ref="A233"/>
    <hyperlink r:id="rId190" location="L161" ref="A234"/>
    <hyperlink r:id="rId191" location="L210" ref="A236"/>
    <hyperlink r:id="rId192" ref="J236"/>
    <hyperlink r:id="rId193" location="L13" ref="A238"/>
    <hyperlink r:id="rId194" location="L18" ref="A239"/>
    <hyperlink r:id="rId195" location="L50" ref="A241"/>
    <hyperlink r:id="rId196" location="L2195" ref="A242"/>
    <hyperlink r:id="rId197" location="L15" ref="A244"/>
    <hyperlink r:id="rId198" location="L21" ref="A246"/>
    <hyperlink r:id="rId199" location="L102" ref="A247"/>
    <hyperlink r:id="rId200" ref="J247"/>
    <hyperlink r:id="rId201" location="L218" ref="A248"/>
    <hyperlink r:id="rId202" ref="J248"/>
    <hyperlink r:id="rId203" location="L999" ref="A250"/>
    <hyperlink r:id="rId204" ref="J250"/>
    <hyperlink r:id="rId205" location="L7938" ref="A251"/>
    <hyperlink r:id="rId206" ref="J251"/>
    <hyperlink r:id="rId207" location="L970" ref="A252"/>
    <hyperlink r:id="rId208" ref="J252"/>
    <hyperlink r:id="rId209" location="L33" ref="A254"/>
    <hyperlink r:id="rId210" ref="J254"/>
    <hyperlink r:id="rId211" location="L66" ref="A255"/>
    <hyperlink r:id="rId212" ref="J255"/>
    <hyperlink r:id="rId213" location="L283" ref="A256"/>
    <hyperlink r:id="rId214" ref="J256"/>
    <hyperlink r:id="rId215" location="L22" ref="A258"/>
    <hyperlink r:id="rId216" ref="J258"/>
    <hyperlink r:id="rId217" location="L17" ref="A261"/>
    <hyperlink r:id="rId218" ref="J261"/>
    <hyperlink r:id="rId219" location="L9" ref="A263"/>
    <hyperlink r:id="rId220" location="L23" ref="A264"/>
    <hyperlink r:id="rId221" location="L51" ref="A266"/>
    <hyperlink r:id="rId222" location="L10" ref="A268"/>
    <hyperlink r:id="rId223" location="L24" ref="A270"/>
    <hyperlink r:id="rId224" location="L16" ref="A272"/>
    <hyperlink r:id="rId225" location="L15" ref="A274"/>
    <hyperlink r:id="rId226" location="L22" ref="A275"/>
    <hyperlink r:id="rId227" location="L118" ref="A277"/>
    <hyperlink r:id="rId228" location="L9" ref="A279"/>
    <hyperlink r:id="rId229" location="L7" ref="A281"/>
    <hyperlink r:id="rId230" location="L19" ref="A283"/>
    <hyperlink r:id="rId231" location="L225" ref="A284"/>
    <hyperlink r:id="rId232" location="L1160" ref="A285"/>
    <hyperlink r:id="rId233" location="L28" ref="A288"/>
    <hyperlink r:id="rId234" location="L168" ref="A289"/>
    <hyperlink r:id="rId235" location="L756" ref="A290"/>
    <hyperlink r:id="rId236" location="L963" ref="A291"/>
    <hyperlink r:id="rId237" location="L967" ref="A292"/>
    <hyperlink r:id="rId238" location="L62" ref="A293"/>
    <hyperlink r:id="rId239" location="L165" ref="A294"/>
    <hyperlink r:id="rId240" location="L760" ref="A295"/>
    <hyperlink r:id="rId241" location="L785" ref="A296"/>
    <hyperlink r:id="rId242" location="L810" ref="A297"/>
    <hyperlink r:id="rId243" location="L907" ref="A298"/>
    <hyperlink r:id="rId244" location="L972" ref="A299"/>
    <hyperlink r:id="rId245" location="L1117" ref="A300"/>
    <hyperlink r:id="rId246" location="L1218" ref="A301"/>
    <hyperlink r:id="rId247" location="L179" ref="A302"/>
    <hyperlink r:id="rId248" location="L58" ref="A303"/>
    <hyperlink r:id="rId249" location="L193" ref="A304"/>
    <hyperlink r:id="rId250" location="L303" ref="A306"/>
    <hyperlink r:id="rId251" location="L2580" ref="A307"/>
    <hyperlink r:id="rId252" location="L2703" ref="A308"/>
    <hyperlink r:id="rId253" location="L106" ref="A309"/>
    <hyperlink r:id="rId254" location="L630" ref="A310"/>
    <hyperlink r:id="rId255" location="L71" ref="A312"/>
    <hyperlink r:id="rId256" location="L1731" ref="A313"/>
    <hyperlink r:id="rId257" location="L1765" ref="A314"/>
    <hyperlink r:id="rId258" location="L1771" ref="A315"/>
    <hyperlink r:id="rId259" location="L63" ref="A316"/>
    <hyperlink r:id="rId260" location="L72" ref="A317"/>
    <hyperlink r:id="rId261" location="L416" ref="A318"/>
    <hyperlink r:id="rId262" location="L701" ref="A319"/>
    <hyperlink r:id="rId263" location="L740" ref="A320"/>
    <hyperlink r:id="rId264" location="L816" ref="A321"/>
    <hyperlink r:id="rId265" location="L879" ref="A322"/>
    <hyperlink r:id="rId266" location="L894" ref="A323"/>
    <hyperlink r:id="rId267" location="L1009" ref="A324"/>
    <hyperlink r:id="rId268" location="L1021" ref="A325"/>
    <hyperlink r:id="rId269" location="L1039" ref="A326"/>
    <hyperlink r:id="rId270" location="L1057" ref="A327"/>
    <hyperlink r:id="rId271" location="L1069" ref="A328"/>
    <hyperlink r:id="rId272" location="L1083" ref="A329"/>
    <hyperlink r:id="rId273" location="L1097" ref="A330"/>
    <hyperlink r:id="rId274" location="L1120" ref="A331"/>
    <hyperlink r:id="rId275" location="L1147" ref="A332"/>
    <hyperlink r:id="rId276" location="L1160" ref="A333"/>
    <hyperlink r:id="rId277" location="L1234" ref="A334"/>
    <hyperlink r:id="rId278" location="L1321" ref="A335"/>
    <hyperlink r:id="rId279" location="L1434" ref="A336"/>
    <hyperlink r:id="rId280" location="L1442" ref="A337"/>
    <hyperlink r:id="rId281" location="L1450" ref="A338"/>
    <hyperlink r:id="rId282" location="L1458" ref="A339"/>
    <hyperlink r:id="rId283" location="L1466" ref="A340"/>
    <hyperlink r:id="rId284" location="L1590" ref="A341"/>
    <hyperlink r:id="rId285" location="L1599" ref="A342"/>
    <hyperlink r:id="rId286" location="L1608" ref="A343"/>
    <hyperlink r:id="rId287" location="L1617" ref="A344"/>
    <hyperlink r:id="rId288" location="L1626" ref="A345"/>
    <hyperlink r:id="rId289" location="L1635" ref="A346"/>
    <hyperlink r:id="rId290" location="L1668" ref="A347"/>
    <hyperlink r:id="rId291" location="L1675" ref="A348"/>
    <hyperlink r:id="rId292" location="L1682" ref="A349"/>
    <hyperlink r:id="rId293" location="L1689" ref="A350"/>
    <hyperlink r:id="rId294" location="L1696" ref="A351"/>
    <hyperlink r:id="rId295" location="L1703" ref="A352"/>
    <hyperlink r:id="rId296" location="L1824" ref="A353"/>
    <hyperlink r:id="rId297" location="L1882" ref="A354"/>
    <hyperlink r:id="rId298" location="L1961" ref="A355"/>
    <hyperlink r:id="rId299" location="L2032" ref="A356"/>
    <hyperlink r:id="rId300" location="L2036" ref="A357"/>
    <hyperlink r:id="rId301" location="L2040" ref="A358"/>
    <hyperlink r:id="rId302" location="L2044" ref="A359"/>
    <hyperlink r:id="rId303" location="L2049" ref="A360"/>
    <hyperlink r:id="rId304" location="L2085" ref="A361"/>
    <hyperlink r:id="rId305" location="L2089" ref="A362"/>
    <hyperlink r:id="rId306" location="L2093" ref="A363"/>
    <hyperlink r:id="rId307" location="L2097" ref="A364"/>
    <hyperlink r:id="rId308" location="L2101" ref="A365"/>
    <hyperlink r:id="rId309" location="L2105" ref="A366"/>
    <hyperlink r:id="rId310" location="L2167" ref="A367"/>
    <hyperlink r:id="rId311" location="L44" ref="A368"/>
    <hyperlink r:id="rId312" location="L830" ref="A369"/>
    <hyperlink r:id="rId313" location="L852" ref="A370"/>
    <hyperlink r:id="rId314" location="L1049" ref="A371"/>
    <hyperlink r:id="rId315" location="L1056" ref="A372"/>
    <hyperlink r:id="rId316" location="L1063" ref="A373"/>
    <hyperlink r:id="rId317" location="L1072" ref="A374"/>
    <hyperlink r:id="rId318" location="L1080" ref="A375"/>
    <hyperlink r:id="rId319" location="L1093" ref="A376"/>
    <hyperlink r:id="rId320" location="L1105" ref="A377"/>
    <hyperlink r:id="rId321" location="L1120" ref="A378"/>
    <hyperlink r:id="rId322" location="L1201" ref="A379"/>
    <hyperlink r:id="rId323" location="L1208" ref="A380"/>
    <hyperlink r:id="rId324" location="L69" ref="A381"/>
    <hyperlink r:id="rId325" location="L52" ref="A382"/>
    <hyperlink r:id="rId326" location="L109" ref="A383"/>
    <hyperlink r:id="rId327" location="L342" ref="A384"/>
    <hyperlink r:id="rId328" location="L750" ref="A385"/>
    <hyperlink r:id="rId329" location="L817" ref="A386"/>
    <hyperlink r:id="rId330" location="L1462" ref="A387"/>
    <hyperlink r:id="rId331" location="L2121" ref="A388"/>
    <hyperlink r:id="rId332" location="L68" ref="A389"/>
    <hyperlink r:id="rId333" location="L63" ref="A390"/>
    <hyperlink r:id="rId334" location="L65" ref="A391"/>
    <hyperlink r:id="rId335" location="L61" ref="A392"/>
    <hyperlink r:id="rId336" location="L365" ref="A393"/>
    <hyperlink r:id="rId337" location="L602" ref="A394"/>
    <hyperlink r:id="rId338" location="L152" ref="A395"/>
    <hyperlink r:id="rId339" location="L164" ref="A397"/>
    <hyperlink r:id="rId340" location="L135" ref="A398"/>
    <hyperlink r:id="rId341" location="L1948" ref="A399"/>
    <hyperlink r:id="rId342" location="L2060" ref="A400"/>
    <hyperlink r:id="rId343" location="L2294" ref="A401"/>
    <hyperlink r:id="rId344" location="L2494" ref="A402"/>
    <hyperlink r:id="rId345" location="L2673" ref="A403"/>
    <hyperlink r:id="rId346" location="L2686" ref="A404"/>
    <hyperlink r:id="rId347" location="L2780" ref="A405"/>
    <hyperlink r:id="rId348" location="L96" ref="A406"/>
    <hyperlink r:id="rId349" location="L209" ref="A407"/>
    <hyperlink r:id="rId350" location="L247" ref="A408"/>
    <hyperlink r:id="rId351" location="L370" ref="A409"/>
    <hyperlink r:id="rId352" location="L39" ref="A410"/>
    <hyperlink r:id="rId353" location="L287" ref="A411"/>
    <hyperlink r:id="rId354" location="L292" ref="A412"/>
    <hyperlink r:id="rId355" location="L490" ref="A413"/>
    <hyperlink r:id="rId356" location="L494" ref="A414"/>
    <hyperlink r:id="rId357" location="L104" ref="A416"/>
    <hyperlink r:id="rId358" location="L1921" ref="A417"/>
    <hyperlink r:id="rId359" location="L1972" ref="A418"/>
    <hyperlink r:id="rId360" location="L2017" ref="A419"/>
    <hyperlink r:id="rId361" location="L2104" ref="A420"/>
    <hyperlink r:id="rId362" location="L2239" ref="A421"/>
    <hyperlink r:id="rId363" location="L2487" ref="A422"/>
    <hyperlink r:id="rId364" location="L2502" ref="A423"/>
    <hyperlink r:id="rId365" location="L61" ref="A424"/>
    <hyperlink r:id="rId366" location="L197" ref="A425"/>
    <hyperlink r:id="rId367" location="L59" ref="A426"/>
    <hyperlink r:id="rId368" location="L81" ref="A427"/>
    <hyperlink r:id="rId369" location="L208" ref="A428"/>
    <hyperlink r:id="rId370" location="L283" ref="A429"/>
    <hyperlink r:id="rId371" location="L304" ref="A430"/>
    <hyperlink r:id="rId372" location="L370" ref="A431"/>
    <hyperlink r:id="rId373" location="L562" ref="A432"/>
    <hyperlink r:id="rId374" location="L78" ref="A434"/>
    <hyperlink r:id="rId375" location="L102" ref="A435"/>
    <hyperlink r:id="rId376" location="L169" ref="A436"/>
    <hyperlink r:id="rId377" location="L326" ref="A437"/>
    <hyperlink r:id="rId378" location="L398" ref="A438"/>
    <hyperlink r:id="rId379" location="L607" ref="A439"/>
    <hyperlink r:id="rId380" location="L709" ref="A440"/>
    <hyperlink r:id="rId381" location="L808" ref="A441"/>
    <hyperlink r:id="rId382" location="L857" ref="A442"/>
    <hyperlink r:id="rId383" location="L60" ref="A443"/>
    <hyperlink r:id="rId384" location="L71" ref="A445"/>
    <hyperlink r:id="rId385" location="L131" ref="A446"/>
    <hyperlink r:id="rId386" location="L464" ref="A447"/>
    <hyperlink r:id="rId387" location="L500" ref="A448"/>
    <hyperlink r:id="rId388" location="L510" ref="A449"/>
    <hyperlink r:id="rId389" location="L528" ref="A450"/>
    <hyperlink r:id="rId390" location="L591" ref="A451"/>
    <hyperlink r:id="rId391" location="L1224" ref="A452"/>
    <hyperlink r:id="rId392" location="L1289" ref="A453"/>
    <hyperlink r:id="rId393" location="L1295" ref="A454"/>
    <hyperlink r:id="rId394" location="L1301" ref="A455"/>
    <hyperlink r:id="rId395" location="L1398" ref="A456"/>
    <hyperlink r:id="rId396" location="L127" ref="A457"/>
    <hyperlink r:id="rId397" location="L266" ref="A458"/>
    <hyperlink r:id="rId398" location="L384" ref="A459"/>
    <hyperlink r:id="rId399" location="L582" ref="A460"/>
    <hyperlink r:id="rId400" location="L639" ref="A461"/>
    <hyperlink r:id="rId401" location="L686" ref="A462"/>
    <hyperlink r:id="rId402" location="L713" ref="A463"/>
    <hyperlink r:id="rId403" location="L35" ref="A465"/>
    <hyperlink r:id="rId404" location="L45" ref="A466"/>
    <hyperlink r:id="rId405" location="L154" ref="A467"/>
    <hyperlink r:id="rId406" location="L2936" ref="A468"/>
    <hyperlink r:id="rId407" location="L3270" ref="A469"/>
    <hyperlink r:id="rId408" location="L3420" ref="A470"/>
    <hyperlink r:id="rId409" location="L3436" ref="A471"/>
    <hyperlink r:id="rId410" location="L3455" ref="A472"/>
    <hyperlink r:id="rId411" location="L694" ref="A474"/>
    <hyperlink r:id="rId412" location="L698" ref="A475"/>
    <hyperlink r:id="rId413" location="L785" ref="A476"/>
    <hyperlink r:id="rId414" location="L790" ref="A477"/>
    <hyperlink r:id="rId415" location="L795" ref="A478"/>
    <hyperlink r:id="rId416" location="L800" ref="A479"/>
    <hyperlink r:id="rId417" location="L93" ref="A481"/>
    <hyperlink r:id="rId418" location="L140" ref="A482"/>
    <hyperlink r:id="rId419" location="L204" ref="A483"/>
    <hyperlink r:id="rId420" location="L247" ref="A484"/>
    <hyperlink r:id="rId421" location="L1407" ref="A485"/>
    <hyperlink r:id="rId422" location="L1564" ref="A486"/>
    <hyperlink r:id="rId423" location="L60" ref="A488"/>
    <hyperlink r:id="rId424" location="L195" ref="A489"/>
  </hyperlinks>
  <printOptions gridLines="1" horizontalCentered="1"/>
  <pageMargins bottom="0.75" footer="0.0" header="0.0" left="0.7" right="0.7" top="0.75"/>
  <pageSetup fitToHeight="0" cellComments="atEnd" orientation="landscape" pageOrder="overThenDown"/>
  <drawing r:id="rId42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53.0"/>
    <col customWidth="1" min="5" max="5" width="55.5"/>
  </cols>
  <sheetData>
    <row r="1">
      <c r="A1" s="178" t="s">
        <v>3506</v>
      </c>
      <c r="B1" s="179"/>
      <c r="C1" s="179"/>
      <c r="D1" s="179"/>
      <c r="E1" s="180"/>
      <c r="F1" s="111"/>
      <c r="G1" s="111"/>
    </row>
    <row r="2">
      <c r="A2" s="181" t="s">
        <v>3507</v>
      </c>
      <c r="B2" s="179"/>
      <c r="C2" s="179"/>
      <c r="D2" s="179"/>
      <c r="E2" s="180"/>
      <c r="F2" s="115" t="b">
        <v>1</v>
      </c>
      <c r="G2" s="115" t="b">
        <v>0</v>
      </c>
    </row>
    <row r="3">
      <c r="A3" s="30" t="s">
        <v>3508</v>
      </c>
      <c r="B3" s="30" t="s">
        <v>3509</v>
      </c>
      <c r="C3" s="30" t="s">
        <v>3510</v>
      </c>
      <c r="D3" s="30" t="s">
        <v>284</v>
      </c>
      <c r="E3" s="30" t="s">
        <v>3511</v>
      </c>
      <c r="F3" s="118" t="b">
        <f t="shared" ref="F3:G3" si="1">IF(F2=TRUE,TRUE,FALSE)</f>
        <v>1</v>
      </c>
      <c r="G3" s="118" t="b">
        <f t="shared" si="1"/>
        <v>0</v>
      </c>
    </row>
    <row r="4">
      <c r="A4" s="25" t="s">
        <v>3512</v>
      </c>
      <c r="B4" s="25" t="s">
        <v>3509</v>
      </c>
      <c r="C4" s="25" t="s">
        <v>3513</v>
      </c>
      <c r="D4" s="25" t="s">
        <v>284</v>
      </c>
      <c r="E4" s="25" t="s">
        <v>3514</v>
      </c>
      <c r="F4" s="121" t="b">
        <f t="shared" ref="F4:G4" si="2">IF(F2=TRUE,TRUE,FALSE)</f>
        <v>1</v>
      </c>
      <c r="G4" s="121" t="b">
        <f t="shared" si="2"/>
        <v>0</v>
      </c>
    </row>
    <row r="5">
      <c r="A5" s="30" t="s">
        <v>3515</v>
      </c>
      <c r="B5" s="30" t="s">
        <v>3509</v>
      </c>
      <c r="C5" s="30" t="s">
        <v>3516</v>
      </c>
      <c r="D5" s="30" t="s">
        <v>284</v>
      </c>
      <c r="E5" s="30" t="s">
        <v>3517</v>
      </c>
      <c r="F5" s="118" t="b">
        <f t="shared" ref="F5:G5" si="3">IF(F2=TRUE,TRUE,FALSE)</f>
        <v>1</v>
      </c>
      <c r="G5" s="118" t="b">
        <f t="shared" si="3"/>
        <v>0</v>
      </c>
    </row>
    <row r="6">
      <c r="A6" s="25" t="s">
        <v>3518</v>
      </c>
      <c r="B6" s="25" t="s">
        <v>3509</v>
      </c>
      <c r="C6" s="25" t="s">
        <v>3519</v>
      </c>
      <c r="D6" s="25" t="s">
        <v>284</v>
      </c>
      <c r="E6" s="25" t="s">
        <v>3520</v>
      </c>
      <c r="F6" s="121" t="b">
        <f t="shared" ref="F6:G6" si="4">IF(F2=TRUE,TRUE,FALSE)</f>
        <v>1</v>
      </c>
      <c r="G6" s="121" t="b">
        <f t="shared" si="4"/>
        <v>0</v>
      </c>
    </row>
    <row r="7">
      <c r="A7" s="30" t="s">
        <v>3521</v>
      </c>
      <c r="B7" s="30" t="s">
        <v>3509</v>
      </c>
      <c r="C7" s="30" t="s">
        <v>3522</v>
      </c>
      <c r="D7" s="30" t="s">
        <v>284</v>
      </c>
      <c r="E7" s="30" t="s">
        <v>3523</v>
      </c>
      <c r="F7" s="118" t="b">
        <f t="shared" ref="F7:G7" si="5">IF(F2=TRUE,TRUE,FALSE)</f>
        <v>1</v>
      </c>
      <c r="G7" s="118" t="b">
        <f t="shared" si="5"/>
        <v>0</v>
      </c>
    </row>
    <row r="8">
      <c r="A8" s="25" t="s">
        <v>3524</v>
      </c>
      <c r="B8" s="25" t="s">
        <v>3509</v>
      </c>
      <c r="C8" s="25" t="s">
        <v>3525</v>
      </c>
      <c r="D8" s="25" t="s">
        <v>284</v>
      </c>
      <c r="E8" s="25" t="s">
        <v>3526</v>
      </c>
      <c r="F8" s="121" t="b">
        <f t="shared" ref="F8:G8" si="6">IF(F2=TRUE,TRUE,FALSE)</f>
        <v>1</v>
      </c>
      <c r="G8" s="121" t="b">
        <f t="shared" si="6"/>
        <v>0</v>
      </c>
    </row>
    <row r="9">
      <c r="A9" s="30" t="s">
        <v>3527</v>
      </c>
      <c r="B9" s="30" t="s">
        <v>3509</v>
      </c>
      <c r="C9" s="30" t="s">
        <v>3528</v>
      </c>
      <c r="D9" s="30" t="s">
        <v>284</v>
      </c>
      <c r="E9" s="30" t="s">
        <v>3529</v>
      </c>
      <c r="F9" s="118" t="b">
        <f t="shared" ref="F9:G9" si="7">IF(F2=TRUE,TRUE,FALSE)</f>
        <v>1</v>
      </c>
      <c r="G9" s="118" t="b">
        <f t="shared" si="7"/>
        <v>0</v>
      </c>
    </row>
    <row r="10">
      <c r="A10" s="25" t="s">
        <v>3530</v>
      </c>
      <c r="B10" s="25" t="s">
        <v>3509</v>
      </c>
      <c r="C10" s="25" t="s">
        <v>3531</v>
      </c>
      <c r="D10" s="25" t="s">
        <v>284</v>
      </c>
      <c r="E10" s="25" t="s">
        <v>3532</v>
      </c>
      <c r="F10" s="121" t="b">
        <f t="shared" ref="F10:G10" si="8">IF(F2=TRUE,TRUE,FALSE)</f>
        <v>1</v>
      </c>
      <c r="G10" s="121" t="b">
        <f t="shared" si="8"/>
        <v>0</v>
      </c>
    </row>
    <row r="11">
      <c r="A11" s="30" t="s">
        <v>3533</v>
      </c>
      <c r="B11" s="30" t="s">
        <v>3509</v>
      </c>
      <c r="C11" s="30" t="s">
        <v>3534</v>
      </c>
      <c r="D11" s="30" t="s">
        <v>284</v>
      </c>
      <c r="E11" s="30" t="s">
        <v>3535</v>
      </c>
      <c r="F11" s="118" t="b">
        <f t="shared" ref="F11:G11" si="9">IF(F2=TRUE,TRUE,FALSE)</f>
        <v>1</v>
      </c>
      <c r="G11" s="118" t="b">
        <f t="shared" si="9"/>
        <v>0</v>
      </c>
    </row>
    <row r="12">
      <c r="A12" s="25" t="s">
        <v>3536</v>
      </c>
      <c r="B12" s="25" t="s">
        <v>3509</v>
      </c>
      <c r="C12" s="25" t="s">
        <v>3537</v>
      </c>
      <c r="D12" s="25" t="s">
        <v>284</v>
      </c>
      <c r="E12" s="25" t="s">
        <v>3538</v>
      </c>
      <c r="F12" s="121" t="b">
        <f t="shared" ref="F12:G12" si="10">IF(F2=TRUE,TRUE,FALSE)</f>
        <v>1</v>
      </c>
      <c r="G12" s="121" t="b">
        <f t="shared" si="10"/>
        <v>0</v>
      </c>
    </row>
    <row r="13">
      <c r="A13" s="30" t="s">
        <v>3539</v>
      </c>
      <c r="B13" s="30" t="s">
        <v>3509</v>
      </c>
      <c r="C13" s="30" t="s">
        <v>3540</v>
      </c>
      <c r="D13" s="30" t="s">
        <v>284</v>
      </c>
      <c r="E13" s="30" t="s">
        <v>3541</v>
      </c>
      <c r="F13" s="118" t="b">
        <f t="shared" ref="F13:G13" si="11">IF(F2=TRUE,TRUE,FALSE)</f>
        <v>1</v>
      </c>
      <c r="G13" s="118" t="b">
        <f t="shared" si="11"/>
        <v>0</v>
      </c>
    </row>
    <row r="14">
      <c r="A14" s="25" t="s">
        <v>3542</v>
      </c>
      <c r="B14" s="25" t="s">
        <v>3509</v>
      </c>
      <c r="C14" s="25" t="s">
        <v>3543</v>
      </c>
      <c r="D14" s="25" t="s">
        <v>284</v>
      </c>
      <c r="E14" s="25" t="s">
        <v>3544</v>
      </c>
      <c r="F14" s="121" t="b">
        <f t="shared" ref="F14:G14" si="12">IF(F2=TRUE,TRUE,FALSE)</f>
        <v>1</v>
      </c>
      <c r="G14" s="121" t="b">
        <f t="shared" si="12"/>
        <v>0</v>
      </c>
    </row>
    <row r="15">
      <c r="A15" s="30" t="s">
        <v>3545</v>
      </c>
      <c r="B15" s="30" t="s">
        <v>3546</v>
      </c>
      <c r="C15" s="30" t="s">
        <v>3547</v>
      </c>
      <c r="D15" s="30" t="s">
        <v>284</v>
      </c>
      <c r="E15" s="30" t="s">
        <v>3548</v>
      </c>
      <c r="F15" s="118" t="b">
        <f t="shared" ref="F15:G15" si="13">IF(F2=TRUE,TRUE,FALSE)</f>
        <v>1</v>
      </c>
      <c r="G15" s="118" t="b">
        <f t="shared" si="13"/>
        <v>0</v>
      </c>
    </row>
    <row r="16">
      <c r="A16" s="25" t="s">
        <v>3549</v>
      </c>
      <c r="B16" s="25" t="s">
        <v>3546</v>
      </c>
      <c r="C16" s="25" t="s">
        <v>3550</v>
      </c>
      <c r="D16" s="25" t="s">
        <v>284</v>
      </c>
      <c r="E16" s="25" t="s">
        <v>3548</v>
      </c>
      <c r="F16" s="121" t="b">
        <f t="shared" ref="F16:G16" si="14">IF(F2=TRUE,TRUE,FALSE)</f>
        <v>1</v>
      </c>
      <c r="G16" s="121" t="b">
        <f t="shared" si="14"/>
        <v>0</v>
      </c>
    </row>
    <row r="17">
      <c r="A17" s="30" t="s">
        <v>3551</v>
      </c>
      <c r="B17" s="30" t="s">
        <v>3552</v>
      </c>
      <c r="C17" s="30" t="s">
        <v>3553</v>
      </c>
      <c r="D17" s="30" t="s">
        <v>284</v>
      </c>
      <c r="E17" s="30" t="s">
        <v>3554</v>
      </c>
      <c r="F17" s="118" t="b">
        <f t="shared" ref="F17:G17" si="15">IF(F2=TRUE,TRUE,FALSE)</f>
        <v>1</v>
      </c>
      <c r="G17" s="118" t="b">
        <f t="shared" si="15"/>
        <v>0</v>
      </c>
    </row>
    <row r="18">
      <c r="A18" s="181" t="s">
        <v>3555</v>
      </c>
      <c r="B18" s="179"/>
      <c r="C18" s="179"/>
      <c r="D18" s="179"/>
      <c r="E18" s="180"/>
      <c r="F18" s="115" t="b">
        <v>1</v>
      </c>
      <c r="G18" s="115" t="b">
        <v>0</v>
      </c>
    </row>
    <row r="19">
      <c r="A19" s="25" t="s">
        <v>3556</v>
      </c>
      <c r="B19" s="25" t="s">
        <v>3557</v>
      </c>
      <c r="C19" s="25" t="s">
        <v>3558</v>
      </c>
      <c r="D19" s="25" t="s">
        <v>284</v>
      </c>
      <c r="E19" s="25" t="s">
        <v>3559</v>
      </c>
      <c r="F19" s="121" t="b">
        <f t="shared" ref="F19:G19" si="16">IF(F18=TRUE,TRUE,FALSE)</f>
        <v>1</v>
      </c>
      <c r="G19" s="121" t="b">
        <f t="shared" si="16"/>
        <v>0</v>
      </c>
    </row>
    <row r="20">
      <c r="A20" s="30" t="s">
        <v>3560</v>
      </c>
      <c r="B20" s="30" t="s">
        <v>3557</v>
      </c>
      <c r="C20" s="30" t="s">
        <v>3561</v>
      </c>
      <c r="D20" s="30" t="s">
        <v>64</v>
      </c>
      <c r="E20" s="30" t="s">
        <v>3562</v>
      </c>
      <c r="F20" s="118" t="b">
        <f t="shared" ref="F20:G20" si="17">IF(F18=TRUE,TRUE,FALSE)</f>
        <v>1</v>
      </c>
      <c r="G20" s="118" t="b">
        <f t="shared" si="17"/>
        <v>0</v>
      </c>
    </row>
    <row r="21">
      <c r="A21" s="25" t="s">
        <v>3563</v>
      </c>
      <c r="B21" s="25" t="s">
        <v>3557</v>
      </c>
      <c r="C21" s="25" t="s">
        <v>3564</v>
      </c>
      <c r="D21" s="25" t="s">
        <v>64</v>
      </c>
      <c r="E21" s="25" t="s">
        <v>3565</v>
      </c>
      <c r="F21" s="121" t="b">
        <f t="shared" ref="F21:G21" si="18">IF(F18=TRUE,TRUE,FALSE)</f>
        <v>1</v>
      </c>
      <c r="G21" s="121" t="b">
        <f t="shared" si="18"/>
        <v>0</v>
      </c>
    </row>
    <row r="22">
      <c r="A22" s="30" t="s">
        <v>3566</v>
      </c>
      <c r="B22" s="30" t="s">
        <v>3567</v>
      </c>
      <c r="C22" s="30" t="s">
        <v>3568</v>
      </c>
      <c r="D22" s="30" t="s">
        <v>284</v>
      </c>
      <c r="E22" s="30" t="s">
        <v>3569</v>
      </c>
      <c r="F22" s="118" t="b">
        <f t="shared" ref="F22:G22" si="19">IF(F18=TRUE,TRUE,FALSE)</f>
        <v>1</v>
      </c>
      <c r="G22" s="118" t="b">
        <f t="shared" si="19"/>
        <v>0</v>
      </c>
    </row>
    <row r="23">
      <c r="A23" s="181" t="s">
        <v>3570</v>
      </c>
      <c r="B23" s="179"/>
      <c r="C23" s="179"/>
      <c r="D23" s="179"/>
      <c r="E23" s="180"/>
      <c r="F23" s="115" t="b">
        <v>1</v>
      </c>
      <c r="G23" s="115" t="b">
        <v>0</v>
      </c>
    </row>
    <row r="24">
      <c r="A24" s="25" t="s">
        <v>3571</v>
      </c>
      <c r="B24" s="25" t="s">
        <v>3572</v>
      </c>
      <c r="C24" s="25" t="s">
        <v>3573</v>
      </c>
      <c r="D24" s="25" t="s">
        <v>284</v>
      </c>
      <c r="E24" s="25" t="s">
        <v>3574</v>
      </c>
      <c r="F24" s="121" t="b">
        <f t="shared" ref="F24:G24" si="20">IF(F23=TRUE,TRUE,FALSE)</f>
        <v>1</v>
      </c>
      <c r="G24" s="121" t="b">
        <f t="shared" si="20"/>
        <v>0</v>
      </c>
    </row>
    <row r="25">
      <c r="A25" s="30" t="s">
        <v>3575</v>
      </c>
      <c r="B25" s="30" t="s">
        <v>3572</v>
      </c>
      <c r="C25" s="30" t="s">
        <v>3576</v>
      </c>
      <c r="D25" s="30" t="s">
        <v>284</v>
      </c>
      <c r="E25" s="30" t="s">
        <v>3577</v>
      </c>
      <c r="F25" s="118" t="b">
        <f t="shared" ref="F25:G25" si="21">IF(F23=TRUE,TRUE,FALSE)</f>
        <v>1</v>
      </c>
      <c r="G25" s="118" t="b">
        <f t="shared" si="21"/>
        <v>0</v>
      </c>
    </row>
    <row r="26">
      <c r="A26" s="25" t="s">
        <v>3578</v>
      </c>
      <c r="B26" s="25" t="s">
        <v>3579</v>
      </c>
      <c r="C26" s="25" t="s">
        <v>3580</v>
      </c>
      <c r="D26" s="25" t="s">
        <v>284</v>
      </c>
      <c r="E26" s="25" t="s">
        <v>3581</v>
      </c>
      <c r="F26" s="121" t="b">
        <f t="shared" ref="F26:G26" si="22">IF(F23=TRUE,TRUE,FALSE)</f>
        <v>1</v>
      </c>
      <c r="G26" s="121" t="b">
        <f t="shared" si="22"/>
        <v>0</v>
      </c>
    </row>
    <row r="27">
      <c r="A27" s="30" t="s">
        <v>3582</v>
      </c>
      <c r="B27" s="30" t="s">
        <v>3579</v>
      </c>
      <c r="C27" s="30" t="s">
        <v>3583</v>
      </c>
      <c r="D27" s="30" t="s">
        <v>64</v>
      </c>
      <c r="E27" s="30" t="s">
        <v>3584</v>
      </c>
      <c r="F27" s="118" t="b">
        <f t="shared" ref="F27:G27" si="23">IF(F23=TRUE,TRUE,FALSE)</f>
        <v>1</v>
      </c>
      <c r="G27" s="118" t="b">
        <f t="shared" si="23"/>
        <v>0</v>
      </c>
    </row>
    <row r="28">
      <c r="A28" s="25" t="s">
        <v>3585</v>
      </c>
      <c r="B28" s="25" t="s">
        <v>3586</v>
      </c>
      <c r="C28" s="25" t="s">
        <v>3587</v>
      </c>
      <c r="D28" s="25" t="s">
        <v>64</v>
      </c>
      <c r="E28" s="25" t="s">
        <v>3588</v>
      </c>
      <c r="F28" s="121" t="b">
        <f t="shared" ref="F28:G28" si="24">IF(F23=TRUE,TRUE,FALSE)</f>
        <v>1</v>
      </c>
      <c r="G28" s="121" t="b">
        <f t="shared" si="24"/>
        <v>0</v>
      </c>
    </row>
    <row r="29">
      <c r="A29" s="181" t="s">
        <v>3589</v>
      </c>
      <c r="B29" s="179"/>
      <c r="C29" s="179"/>
      <c r="D29" s="179"/>
      <c r="E29" s="180"/>
      <c r="F29" s="115" t="b">
        <v>1</v>
      </c>
      <c r="G29" s="115" t="b">
        <v>0</v>
      </c>
    </row>
    <row r="30">
      <c r="A30" s="30" t="s">
        <v>3590</v>
      </c>
      <c r="B30" s="30" t="s">
        <v>3591</v>
      </c>
      <c r="C30" s="30" t="s">
        <v>3592</v>
      </c>
      <c r="D30" s="30" t="s">
        <v>315</v>
      </c>
      <c r="E30" s="30" t="s">
        <v>3593</v>
      </c>
      <c r="F30" s="118" t="b">
        <f t="shared" ref="F30:G30" si="25">IF(F29=TRUE,TRUE,FALSE)</f>
        <v>1</v>
      </c>
      <c r="G30" s="118" t="b">
        <f t="shared" si="25"/>
        <v>0</v>
      </c>
    </row>
    <row r="31">
      <c r="A31" s="181" t="s">
        <v>3594</v>
      </c>
      <c r="B31" s="179"/>
      <c r="C31" s="179"/>
      <c r="D31" s="179"/>
      <c r="E31" s="180"/>
      <c r="F31" s="115" t="b">
        <v>1</v>
      </c>
      <c r="G31" s="115" t="b">
        <v>0</v>
      </c>
    </row>
    <row r="32">
      <c r="A32" s="25" t="s">
        <v>3595</v>
      </c>
      <c r="B32" s="25" t="s">
        <v>3596</v>
      </c>
      <c r="C32" s="25" t="s">
        <v>3597</v>
      </c>
      <c r="D32" s="25" t="s">
        <v>172</v>
      </c>
      <c r="E32" s="25" t="s">
        <v>3598</v>
      </c>
      <c r="F32" s="121" t="b">
        <f t="shared" ref="F32:G32" si="26">IF(F31=TRUE,TRUE,FALSE)</f>
        <v>1</v>
      </c>
      <c r="G32" s="121" t="b">
        <f t="shared" si="26"/>
        <v>0</v>
      </c>
    </row>
    <row r="33">
      <c r="A33" s="30" t="s">
        <v>3599</v>
      </c>
      <c r="B33" s="30" t="s">
        <v>3596</v>
      </c>
      <c r="C33" s="30" t="s">
        <v>3600</v>
      </c>
      <c r="D33" s="30" t="s">
        <v>284</v>
      </c>
      <c r="E33" s="30" t="s">
        <v>3601</v>
      </c>
      <c r="F33" s="118" t="b">
        <f t="shared" ref="F33:G33" si="27">IF(F31=TRUE,TRUE,FALSE)</f>
        <v>1</v>
      </c>
      <c r="G33" s="118" t="b">
        <f t="shared" si="27"/>
        <v>0</v>
      </c>
    </row>
    <row r="34">
      <c r="A34" s="25" t="s">
        <v>3602</v>
      </c>
      <c r="B34" s="25" t="s">
        <v>3596</v>
      </c>
      <c r="C34" s="25" t="s">
        <v>3603</v>
      </c>
      <c r="D34" s="25" t="s">
        <v>3604</v>
      </c>
      <c r="E34" s="25" t="s">
        <v>3605</v>
      </c>
      <c r="F34" s="121" t="b">
        <f t="shared" ref="F34:G34" si="28">IF(F31=TRUE,TRUE,FALSE)</f>
        <v>1</v>
      </c>
      <c r="G34" s="121" t="b">
        <f t="shared" si="28"/>
        <v>0</v>
      </c>
    </row>
    <row r="35">
      <c r="A35" s="30" t="s">
        <v>3606</v>
      </c>
      <c r="B35" s="30" t="s">
        <v>3596</v>
      </c>
      <c r="C35" s="30" t="s">
        <v>3607</v>
      </c>
      <c r="D35" s="30" t="s">
        <v>64</v>
      </c>
      <c r="E35" s="30" t="s">
        <v>3608</v>
      </c>
      <c r="F35" s="118" t="b">
        <f t="shared" ref="F35:G35" si="29">IF(F31=TRUE,TRUE,FALSE)</f>
        <v>1</v>
      </c>
      <c r="G35" s="118" t="b">
        <f t="shared" si="29"/>
        <v>0</v>
      </c>
    </row>
  </sheetData>
  <mergeCells count="6">
    <mergeCell ref="A1:E1"/>
    <mergeCell ref="A2:E2"/>
    <mergeCell ref="A18:E18"/>
    <mergeCell ref="A23:E23"/>
    <mergeCell ref="A29:E29"/>
    <mergeCell ref="A31:E31"/>
  </mergeCells>
  <dataValidations>
    <dataValidation type="list" allowBlank="1" sqref="F1:G35">
      <formula1>"TRUE,FALSE"</formula1>
    </dataValidation>
  </dataValidations>
  <printOptions gridLines="1" horizontalCentered="1"/>
  <pageMargins bottom="0.75" footer="0.0" header="0.0" left="0.7" right="0.7" top="0.75"/>
  <pageSetup fitToHeight="0" cellComments="atEnd" orientation="landscape" pageOrder="overThenDown"/>
  <drawing r:id="rId1"/>
</worksheet>
</file>